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13_ncr:1_{6722A131-8286-4075-BF3C-ABE918B81A8B}" xr6:coauthVersionLast="47" xr6:coauthVersionMax="47" xr10:uidLastSave="{00000000-0000-0000-0000-000000000000}"/>
  <bookViews>
    <workbookView xWindow="-120" yWindow="-120" windowWidth="20730" windowHeight="11160" tabRatio="700" xr2:uid="{00000000-000D-0000-FFFF-FFFF00000000}"/>
  </bookViews>
  <sheets>
    <sheet name="PROCV" sheetId="1" r:id="rId1"/>
    <sheet name="TABELA" sheetId="3" r:id="rId2"/>
    <sheet name="PROCH + CORRESP" sheetId="4" r:id="rId3"/>
    <sheet name="INDICE" sheetId="5" r:id="rId4"/>
    <sheet name="EXERCICIO_1" sheetId="6" r:id="rId5"/>
    <sheet name="EXERCICIO_2" sheetId="7" r:id="rId6"/>
    <sheet name="EXERCICIO_3" sheetId="8" r:id="rId7"/>
  </sheets>
  <definedNames>
    <definedName name="_xlnm._FilterDatabase" localSheetId="5" hidden="1">EXERCICIO_2!$A$1:$F$1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l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<sst xmlns="http://schemas.openxmlformats.org/spreadsheetml/2006/main" count="201" uniqueCount="137">
  <si>
    <t>CONTROLE DE ESTOQUE</t>
  </si>
  <si>
    <t>Cód</t>
  </si>
  <si>
    <t>Descrição do Produto</t>
  </si>
  <si>
    <t>Preço de Custo</t>
  </si>
  <si>
    <t>Qtd em Estoque</t>
  </si>
  <si>
    <t>ADAPTADOR DE VIDEO FEASSO DIVIX VGA*</t>
  </si>
  <si>
    <t>ADAPTADOR PARA TECLADO PS2/DIM*</t>
  </si>
  <si>
    <t>ADAPTADOR PS2 P-/ USB*</t>
  </si>
  <si>
    <t>ADAPTADOR DE TOMADA DUPLO*</t>
  </si>
  <si>
    <t>ADAPTADOR T DUPLO POTE C/12 UNIDADES*</t>
  </si>
  <si>
    <t>ADAPTADOR USB P/ IDE/SATA C/ FONTE GENÉRICA*</t>
  </si>
  <si>
    <t>ADAPTADOR USB P/ PS2*</t>
  </si>
  <si>
    <t>CABO ADAPTADOR USB P/ IMPRESSORA PARALELO*</t>
  </si>
  <si>
    <t>CABO ADAPTADOR USB P/ SERIAL (RS232)*</t>
  </si>
  <si>
    <t>CABO AL. SATA SA4/15P*</t>
  </si>
  <si>
    <t>CABO REDE SINAL CAT. 5 300M EM CAIXA*</t>
  </si>
  <si>
    <t>CABO DVI FEASSO FCD1 1.8M*</t>
  </si>
  <si>
    <t>CABO HD DADOS SATA*</t>
  </si>
  <si>
    <t>CABO HDMI FEASSO 1.8M OURO*</t>
  </si>
  <si>
    <t>CABO HDMI FEASSO 1.8M SIMPLES*</t>
  </si>
  <si>
    <t>VALOR ARRECADADO 2º SEMESTRE</t>
  </si>
  <si>
    <t>Loja 1</t>
  </si>
  <si>
    <t>Loja 2</t>
  </si>
  <si>
    <t>Loja 3</t>
  </si>
  <si>
    <t>Loja 4</t>
  </si>
  <si>
    <t>Julho</t>
  </si>
  <si>
    <t>Agosto</t>
  </si>
  <si>
    <t>Setembro</t>
  </si>
  <si>
    <t>Outubro</t>
  </si>
  <si>
    <t>Novembro</t>
  </si>
  <si>
    <t>Dezembro</t>
  </si>
  <si>
    <t>Total</t>
  </si>
  <si>
    <t>Nome da Loja</t>
  </si>
  <si>
    <t>Mês</t>
  </si>
  <si>
    <t>Valor Arrecadado</t>
  </si>
  <si>
    <t>Distância entre Capitais</t>
  </si>
  <si>
    <t>Curitiba</t>
  </si>
  <si>
    <t>São Paulo</t>
  </si>
  <si>
    <t>Rio de Janeiro</t>
  </si>
  <si>
    <t>Florianópolis</t>
  </si>
  <si>
    <t>Porto Alegre</t>
  </si>
  <si>
    <t>0 KM</t>
  </si>
  <si>
    <t>407 KM</t>
  </si>
  <si>
    <t>850 KM</t>
  </si>
  <si>
    <t>301 KM</t>
  </si>
  <si>
    <t>707 KM</t>
  </si>
  <si>
    <t>440 KM</t>
  </si>
  <si>
    <t>695 KM</t>
  </si>
  <si>
    <t>1104 KM</t>
  </si>
  <si>
    <t>1138 KM</t>
  </si>
  <si>
    <t>1546 KM</t>
  </si>
  <si>
    <t>466 KM</t>
  </si>
  <si>
    <t>Saida</t>
  </si>
  <si>
    <t>Destino</t>
  </si>
  <si>
    <t>Distância</t>
  </si>
  <si>
    <t>Eixo X</t>
  </si>
  <si>
    <t>Eixo Y</t>
  </si>
  <si>
    <t>Indice</t>
  </si>
  <si>
    <t>Belo Horizonte</t>
  </si>
  <si>
    <t>Vitória</t>
  </si>
  <si>
    <t>1004 KM</t>
  </si>
  <si>
    <t>1301 KM</t>
  </si>
  <si>
    <t>1712 KM</t>
  </si>
  <si>
    <t>434 KM</t>
  </si>
  <si>
    <t>586 KM</t>
  </si>
  <si>
    <t>524 KM</t>
  </si>
  <si>
    <t>300 KM</t>
  </si>
  <si>
    <t>711 KM</t>
  </si>
  <si>
    <t>852 KM</t>
  </si>
  <si>
    <t>408 KM</t>
  </si>
  <si>
    <t>1300 KM</t>
  </si>
  <si>
    <t>476 KM</t>
  </si>
  <si>
    <t>1144 KM</t>
  </si>
  <si>
    <t>705 KM</t>
  </si>
  <si>
    <t>1597 KM</t>
  </si>
  <si>
    <t>1553 KM</t>
  </si>
  <si>
    <t>1109 KM</t>
  </si>
  <si>
    <t>2001 KM</t>
  </si>
  <si>
    <t>429 KM</t>
  </si>
  <si>
    <t>521 KM</t>
  </si>
  <si>
    <t>882 KM</t>
  </si>
  <si>
    <t>Colaborador</t>
  </si>
  <si>
    <t>Rafael</t>
  </si>
  <si>
    <t>Gerson</t>
  </si>
  <si>
    <t>Flavia</t>
  </si>
  <si>
    <t>Débora</t>
  </si>
  <si>
    <t>Gisele</t>
  </si>
  <si>
    <t>Relatório de Horas Extras - Outubro de 2025</t>
  </si>
  <si>
    <t>Dias Extras Trabalhados</t>
  </si>
  <si>
    <t>Nome</t>
  </si>
  <si>
    <t>Telefone</t>
  </si>
  <si>
    <t>Endereço</t>
  </si>
  <si>
    <t>Bairro</t>
  </si>
  <si>
    <t>Cidade</t>
  </si>
  <si>
    <t>Estado</t>
  </si>
  <si>
    <t>CEP</t>
  </si>
  <si>
    <t>Email</t>
  </si>
  <si>
    <t>(19) 3528-9568</t>
  </si>
  <si>
    <t>Rua: Dom Bosco, 145</t>
  </si>
  <si>
    <t>Centro</t>
  </si>
  <si>
    <t>Sumaré</t>
  </si>
  <si>
    <t>13.180-956</t>
  </si>
  <si>
    <t>Maria de Souza</t>
  </si>
  <si>
    <t>(19) 2548-9568</t>
  </si>
  <si>
    <t>Rua: Astolfo Banavaro, 1598</t>
  </si>
  <si>
    <t>Nova Veneza</t>
  </si>
  <si>
    <t>13.458-956</t>
  </si>
  <si>
    <t>maria@hotmail.com</t>
  </si>
  <si>
    <t>Ricardo dos Santos Ribeiro</t>
  </si>
  <si>
    <t>(19) 9198-9856</t>
  </si>
  <si>
    <t>Estrada de Souzas, 235</t>
  </si>
  <si>
    <t>Jd. Ypes</t>
  </si>
  <si>
    <t>Campinas</t>
  </si>
  <si>
    <t>13.082-965</t>
  </si>
  <si>
    <t>ricardo.santos@yahoo.com.br</t>
  </si>
  <si>
    <t>José Batista de Oliveira</t>
  </si>
  <si>
    <t>(19) 8125-9865</t>
  </si>
  <si>
    <t>Rua: Maria Afonso, 458</t>
  </si>
  <si>
    <t>Jd. Marcopolo</t>
  </si>
  <si>
    <t>13.180-985</t>
  </si>
  <si>
    <t>jose.oliveira@terra.com.br</t>
  </si>
  <si>
    <t>Paloma da Silva</t>
  </si>
  <si>
    <t>(19) 9854-9568</t>
  </si>
  <si>
    <t>Rua: Modesto Ribeiro, 254</t>
  </si>
  <si>
    <t>Jd. Noroeste</t>
  </si>
  <si>
    <t>13.458-356</t>
  </si>
  <si>
    <t>palominha135@yahoo.com.br</t>
  </si>
  <si>
    <t>Alice Batista Moraes</t>
  </si>
  <si>
    <t>(19) 8154-9865</t>
  </si>
  <si>
    <t>Rua: Heitor Pinto</t>
  </si>
  <si>
    <t>Jd. Barcelona</t>
  </si>
  <si>
    <t>Hortolândia</t>
  </si>
  <si>
    <t>13.548-958</t>
  </si>
  <si>
    <t>alice_moraes@ig.com.br</t>
  </si>
  <si>
    <t>Bruna Santos</t>
  </si>
  <si>
    <t>bruna.santos@gmail.com</t>
  </si>
  <si>
    <t>Agenda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</si>
</sst>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44" fontId="0" fillId="0" borderId="4" xfId="1" applyFont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5" borderId="4" xfId="0" applyFill="1" applyBorder="1" applyAlignment="1">
      <alignment horizontal="center" vertical="center"/>
    </xf>
    <xf numFmtId="44" fontId="0" fillId="6" borderId="4" xfId="1" applyFont="1" applyFill="1" applyBorder="1" applyAlignment="1">
      <alignment horizontal="center" vertical="center"/>
    </xf>
    <xf numFmtId="44" fontId="0" fillId="4" borderId="4" xfId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4" fontId="0" fillId="6" borderId="0" xfId="1" applyFont="1" applyFill="1"/>
    <xf numFmtId="0" fontId="4" fillId="0" borderId="0" xfId="0" applyFont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0" xfId="1" applyNumberFormat="1" applyFont="1" applyFill="1"/>
    <xf numFmtId="0" fontId="5" fillId="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10" borderId="4" xfId="0" applyFont="1" applyFill="1" applyBorder="1" applyAlignment="1">
      <alignment horizontal="left" vertical="center"/>
    </xf>
    <xf numFmtId="14" fontId="1" fillId="10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164" fontId="4" fillId="8" borderId="4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14" fontId="1" fillId="11" borderId="5" xfId="0" applyNumberFormat="1" applyFont="1" applyFill="1" applyBorder="1" applyAlignment="1">
      <alignment horizontal="center" vertical="center"/>
    </xf>
    <xf numFmtId="14" fontId="1" fillId="11" borderId="6" xfId="0" applyNumberFormat="1" applyFont="1" applyFill="1" applyBorder="1" applyAlignment="1">
      <alignment horizontal="center" vertical="center"/>
    </xf>
    <xf numFmtId="14" fontId="1" fillId="11" borderId="7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0" borderId="0" xfId="0" applyFill="1"/>
    <xf numFmtId="0" fontId="8" fillId="12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7" fillId="0" borderId="4" xfId="2" applyFill="1" applyBorder="1" applyAlignment="1" applyProtection="1">
      <alignment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100853</xdr:colOff>
      <xdr:row>0</xdr:row>
      <xdr:rowOff>100853</xdr:rowOff>
    </xdr:from>
    <xdr:to>
      <xdr:col>13</xdr:col>
      <xdr:colOff>369794</xdr:colOff>
      <xdr:row>4</xdr:row>
      <xdr:rowOff>145676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07A26D7-EE8A-4CC5-BF46-D7D81A7211D5}"/>
            </a:ext>
          </a:extLst>
        </xdr:cNvPr>
        <xdr:cNvSpPr txBox="1"/>
      </xdr:nvSpPr>
      <xdr:spPr>
        <a:xfrm>
          <a:off x="11362765" y="100853"/>
          <a:ext cx="3294529" cy="1299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rgbClr val="0070C0"/>
              </a:solidFill>
            </a:rPr>
            <a:t>Exercício:</a:t>
          </a:r>
        </a:p>
        <a:p>
          <a:endParaRPr lang="pt-BR" sz="1400"/>
        </a:p>
        <a:p>
          <a:r>
            <a:rPr lang="pt-BR" sz="1400"/>
            <a:t>Crie uma solução em</a:t>
          </a:r>
          <a:r>
            <a:rPr lang="pt-BR" sz="1400" baseline="0"/>
            <a:t> que o usuário possa digitar as </a:t>
          </a:r>
          <a:r>
            <a:rPr lang="pt-BR" sz="1400" b="1" baseline="0"/>
            <a:t>Cidades </a:t>
          </a:r>
          <a:r>
            <a:rPr lang="pt-BR" sz="1400" b="0" baseline="0"/>
            <a:t>e informe a</a:t>
          </a:r>
          <a:r>
            <a:rPr lang="pt-BR" sz="1400" b="1" baseline="0"/>
            <a:t> distância </a:t>
          </a:r>
          <a:r>
            <a:rPr lang="pt-BR" sz="1400" b="0" baseline="0"/>
            <a:t>entre elas</a:t>
          </a:r>
          <a:r>
            <a:rPr lang="pt-BR" sz="1400" b="1" baseline="0"/>
            <a:t>.</a:t>
          </a:r>
          <a:endParaRPr lang="pt-BR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0</xdr:row>
      <xdr:rowOff>57149</xdr:rowOff>
    </xdr:from>
    <xdr:to>
      <xdr:col>11</xdr:col>
      <xdr:colOff>447675</xdr:colOff>
      <xdr:row>5</xdr:row>
      <xdr:rowOff>228599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26F3501-39B0-49CC-C254-5CEF3EF426B3}"/>
            </a:ext>
          </a:extLst>
        </xdr:cNvPr>
        <xdr:cNvSpPr txBox="1"/>
      </xdr:nvSpPr>
      <xdr:spPr>
        <a:xfrm>
          <a:off x="5876925" y="57149"/>
          <a:ext cx="3371850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Exercício:</a:t>
          </a:r>
        </a:p>
        <a:p>
          <a:endParaRPr lang="pt-BR" sz="1400"/>
        </a:p>
        <a:p>
          <a:r>
            <a:rPr lang="pt-BR" sz="1400"/>
            <a:t>Crie uma solução em</a:t>
          </a:r>
          <a:r>
            <a:rPr lang="pt-BR" sz="1400" baseline="0"/>
            <a:t> que o usuário possa digitar o </a:t>
          </a:r>
          <a:r>
            <a:rPr lang="pt-BR" sz="1400" b="1" baseline="0"/>
            <a:t>Nome do Coloborador</a:t>
          </a:r>
          <a:r>
            <a:rPr lang="pt-BR" sz="1400" baseline="0"/>
            <a:t> e a </a:t>
          </a:r>
          <a:r>
            <a:rPr lang="pt-BR" sz="1400" b="1" baseline="0"/>
            <a:t>Data correspondente ao dia Trabalhado</a:t>
          </a:r>
          <a:r>
            <a:rPr lang="pt-BR" sz="1400" baseline="0"/>
            <a:t> e informe o </a:t>
          </a:r>
          <a:r>
            <a:rPr lang="pt-BR" sz="1400" b="1" baseline="0"/>
            <a:t>Total de Horas Extras Trabalhadas.</a:t>
          </a:r>
          <a:endParaRPr lang="pt-BR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133349</xdr:rowOff>
    </xdr:from>
    <xdr:to>
      <xdr:col>13</xdr:col>
      <xdr:colOff>322729</xdr:colOff>
      <xdr:row>7</xdr:row>
      <xdr:rowOff>66674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6D38837-A6A7-48E1-BB87-33D9A0D0D65B}"/>
            </a:ext>
          </a:extLst>
        </xdr:cNvPr>
        <xdr:cNvSpPr txBox="1"/>
      </xdr:nvSpPr>
      <xdr:spPr>
        <a:xfrm>
          <a:off x="10734675" y="133349"/>
          <a:ext cx="3294529" cy="1571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Exercício:</a:t>
          </a:r>
        </a:p>
        <a:p>
          <a:endParaRPr lang="pt-BR" sz="1400"/>
        </a:p>
        <a:p>
          <a:r>
            <a:rPr lang="pt-BR" sz="1400"/>
            <a:t>Crie uma solução em</a:t>
          </a:r>
          <a:r>
            <a:rPr lang="pt-BR" sz="1400" baseline="0"/>
            <a:t> que o usuário possa digitar ou </a:t>
          </a:r>
          <a:r>
            <a:rPr lang="pt-BR" sz="1400" b="1" baseline="0"/>
            <a:t>Nome</a:t>
          </a:r>
          <a:r>
            <a:rPr lang="pt-BR" sz="1400" baseline="0"/>
            <a:t> ou </a:t>
          </a:r>
          <a:r>
            <a:rPr lang="pt-BR" sz="1400" b="1" baseline="0"/>
            <a:t>Telefone</a:t>
          </a:r>
          <a:r>
            <a:rPr lang="pt-BR" sz="1400" baseline="0"/>
            <a:t> ou </a:t>
          </a:r>
          <a:r>
            <a:rPr lang="pt-BR" sz="1400" b="1" baseline="0"/>
            <a:t>Email</a:t>
          </a:r>
          <a:r>
            <a:rPr lang="pt-BR" sz="1400" baseline="0"/>
            <a:t> e o sistema </a:t>
          </a:r>
          <a:r>
            <a:rPr lang="pt-BR" sz="1400" b="1" baseline="0"/>
            <a:t>informe todos os dados do Cliente</a:t>
          </a:r>
          <a:r>
            <a:rPr lang="pt-BR" sz="1400" baseline="0"/>
            <a:t>.</a:t>
          </a:r>
          <a:endParaRPr lang="pt-BR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icardo.santos@yahoo.com.br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maria@hotmail.com" TargetMode="External"/><Relationship Id="rId1" Type="http://schemas.openxmlformats.org/officeDocument/2006/relationships/hyperlink" Target="mailto:bruna.santos@gmail.com" TargetMode="External"/><Relationship Id="rId6" Type="http://schemas.openxmlformats.org/officeDocument/2006/relationships/hyperlink" Target="mailto:alice_moraes@ig.com.br" TargetMode="External"/><Relationship Id="rId5" Type="http://schemas.openxmlformats.org/officeDocument/2006/relationships/hyperlink" Target="mailto:palominha135@yahoo.com.br" TargetMode="External"/><Relationship Id="rId4" Type="http://schemas.openxmlformats.org/officeDocument/2006/relationships/hyperlink" Target="mailto:jose.oliveira@ter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3" zoomScale="130" zoomScaleNormal="130" workbookViewId="0">
      <selection activeCell="A22" sqref="A22"/>
    </sheetView>
  </sheetViews>
  <sheetFormatPr defaultRowHeight="15" x14ac:dyDescent="0.25"/>
  <cols>
    <col min="1" max="1" width="8" customWidth="1"/>
    <col min="2" max="2" width="51.7109375" customWidth="1"/>
    <col min="3" max="3" width="16.5703125" customWidth="1"/>
    <col min="4" max="4" width="15.28515625" bestFit="1" customWidth="1"/>
  </cols>
  <sheetData>
    <row r="1" spans="1:4" ht="29.25" customHeight="1" thickBot="1" x14ac:dyDescent="0.3">
      <c r="A1" s="31" t="s">
        <v>0</v>
      </c>
      <c r="B1" s="32"/>
      <c r="C1" s="32"/>
      <c r="D1" s="33"/>
    </row>
    <row r="2" spans="1:4" ht="6" customHeight="1" x14ac:dyDescent="0.25">
      <c r="A2" s="1"/>
      <c r="B2" s="1"/>
      <c r="C2" s="1"/>
      <c r="D2" s="1"/>
    </row>
    <row r="3" spans="1:4" ht="7.5" customHeight="1" x14ac:dyDescent="0.25">
      <c r="A3" s="1"/>
      <c r="B3" s="1"/>
      <c r="C3" s="1"/>
      <c r="D3" s="1"/>
    </row>
    <row r="4" spans="1:4" ht="20.100000000000001" customHeight="1" x14ac:dyDescent="0.25">
      <c r="A4" s="4" t="s">
        <v>1</v>
      </c>
      <c r="B4" s="4" t="s">
        <v>2</v>
      </c>
      <c r="C4" s="4" t="s">
        <v>3</v>
      </c>
      <c r="D4" s="4" t="s">
        <v>4</v>
      </c>
    </row>
    <row r="5" spans="1:4" ht="20.100000000000001" customHeight="1" x14ac:dyDescent="0.25">
      <c r="A5" s="23">
        <v>1</v>
      </c>
      <c r="B5" s="5" t="s">
        <v>5</v>
      </c>
      <c r="C5" s="6">
        <v>13.08</v>
      </c>
      <c r="D5" s="5">
        <v>100</v>
      </c>
    </row>
    <row r="6" spans="1:4" ht="20.100000000000001" customHeight="1" x14ac:dyDescent="0.25">
      <c r="A6" s="23">
        <f>A5+1</f>
        <v>2</v>
      </c>
      <c r="B6" s="5" t="s">
        <v>6</v>
      </c>
      <c r="C6" s="6">
        <v>2.2400000000000002</v>
      </c>
      <c r="D6" s="5">
        <v>99</v>
      </c>
    </row>
    <row r="7" spans="1:4" ht="20.100000000000001" customHeight="1" x14ac:dyDescent="0.25">
      <c r="A7" s="23">
        <f t="shared" ref="A7:A19" si="0">A6+1</f>
        <v>3</v>
      </c>
      <c r="B7" s="5" t="s">
        <v>7</v>
      </c>
      <c r="C7" s="6">
        <v>2.31</v>
      </c>
      <c r="D7" s="5">
        <v>87</v>
      </c>
    </row>
    <row r="8" spans="1:4" ht="20.100000000000001" customHeight="1" x14ac:dyDescent="0.25">
      <c r="A8" s="23">
        <f t="shared" si="0"/>
        <v>4</v>
      </c>
      <c r="B8" s="5" t="s">
        <v>8</v>
      </c>
      <c r="C8" s="6">
        <v>2.62</v>
      </c>
      <c r="D8" s="5">
        <v>23</v>
      </c>
    </row>
    <row r="9" spans="1:4" ht="20.100000000000001" customHeight="1" x14ac:dyDescent="0.25">
      <c r="A9" s="23">
        <f t="shared" si="0"/>
        <v>5</v>
      </c>
      <c r="B9" s="5" t="s">
        <v>9</v>
      </c>
      <c r="C9" s="6">
        <v>31.39</v>
      </c>
      <c r="D9" s="5">
        <v>44</v>
      </c>
    </row>
    <row r="10" spans="1:4" ht="20.100000000000001" customHeight="1" x14ac:dyDescent="0.25">
      <c r="A10" s="23">
        <f t="shared" si="0"/>
        <v>6</v>
      </c>
      <c r="B10" s="5" t="s">
        <v>10</v>
      </c>
      <c r="C10" s="6">
        <v>49.29</v>
      </c>
      <c r="D10" s="5">
        <v>15</v>
      </c>
    </row>
    <row r="11" spans="1:4" ht="20.100000000000001" customHeight="1" x14ac:dyDescent="0.25">
      <c r="A11" s="23">
        <f t="shared" si="0"/>
        <v>7</v>
      </c>
      <c r="B11" s="5" t="s">
        <v>11</v>
      </c>
      <c r="C11" s="6">
        <v>8.4499999999999993</v>
      </c>
      <c r="D11" s="5">
        <v>64</v>
      </c>
    </row>
    <row r="12" spans="1:4" ht="20.100000000000001" customHeight="1" x14ac:dyDescent="0.25">
      <c r="A12" s="23">
        <f t="shared" si="0"/>
        <v>8</v>
      </c>
      <c r="B12" s="5" t="s">
        <v>12</v>
      </c>
      <c r="C12" s="6">
        <v>39.229999999999997</v>
      </c>
      <c r="D12" s="5">
        <v>77</v>
      </c>
    </row>
    <row r="13" spans="1:4" ht="20.100000000000001" customHeight="1" x14ac:dyDescent="0.25">
      <c r="A13" s="23">
        <f t="shared" si="0"/>
        <v>9</v>
      </c>
      <c r="B13" s="5" t="s">
        <v>13</v>
      </c>
      <c r="C13" s="6">
        <v>33.81</v>
      </c>
      <c r="D13" s="5">
        <v>34</v>
      </c>
    </row>
    <row r="14" spans="1:4" ht="20.100000000000001" customHeight="1" x14ac:dyDescent="0.25">
      <c r="A14" s="23">
        <f t="shared" si="0"/>
        <v>10</v>
      </c>
      <c r="B14" s="5" t="s">
        <v>14</v>
      </c>
      <c r="C14" s="6">
        <v>3.15</v>
      </c>
      <c r="D14" s="5">
        <v>29</v>
      </c>
    </row>
    <row r="15" spans="1:4" ht="20.100000000000001" customHeight="1" x14ac:dyDescent="0.25">
      <c r="A15" s="23">
        <f t="shared" si="0"/>
        <v>11</v>
      </c>
      <c r="B15" s="5" t="s">
        <v>15</v>
      </c>
      <c r="C15" s="6">
        <v>252.1</v>
      </c>
      <c r="D15" s="5">
        <v>9</v>
      </c>
    </row>
    <row r="16" spans="1:4" ht="20.100000000000001" customHeight="1" x14ac:dyDescent="0.25">
      <c r="A16" s="23">
        <f t="shared" si="0"/>
        <v>12</v>
      </c>
      <c r="B16" s="5" t="s">
        <v>16</v>
      </c>
      <c r="C16" s="6">
        <v>27.89</v>
      </c>
      <c r="D16" s="5">
        <v>43</v>
      </c>
    </row>
    <row r="17" spans="1:4" ht="20.100000000000001" customHeight="1" x14ac:dyDescent="0.25">
      <c r="A17" s="23">
        <f t="shared" si="0"/>
        <v>13</v>
      </c>
      <c r="B17" s="5" t="s">
        <v>17</v>
      </c>
      <c r="C17" s="6">
        <v>3.27</v>
      </c>
      <c r="D17" s="5">
        <v>25</v>
      </c>
    </row>
    <row r="18" spans="1:4" ht="20.100000000000001" customHeight="1" x14ac:dyDescent="0.25">
      <c r="A18" s="23">
        <f t="shared" si="0"/>
        <v>14</v>
      </c>
      <c r="B18" s="5" t="s">
        <v>18</v>
      </c>
      <c r="C18" s="6">
        <v>31.54</v>
      </c>
      <c r="D18" s="5">
        <v>67</v>
      </c>
    </row>
    <row r="19" spans="1:4" ht="20.100000000000001" customHeight="1" x14ac:dyDescent="0.25">
      <c r="A19" s="23">
        <f t="shared" si="0"/>
        <v>15</v>
      </c>
      <c r="B19" s="5" t="s">
        <v>19</v>
      </c>
      <c r="C19" s="6">
        <v>19.850000000000001</v>
      </c>
      <c r="D19" s="5">
        <v>12</v>
      </c>
    </row>
    <row r="21" spans="1:4" s="3" customFormat="1" ht="20.100000000000001" customHeight="1" x14ac:dyDescent="0.25">
      <c r="A21" s="4" t="s">
        <v>1</v>
      </c>
      <c r="B21" s="4" t="s">
        <v>2</v>
      </c>
      <c r="C21" s="4" t="s">
        <v>3</v>
      </c>
      <c r="D21" s="4" t="s">
        <v>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B10" sqref="B10"/>
    </sheetView>
  </sheetViews>
  <sheetFormatPr defaultRowHeight="15" x14ac:dyDescent="0.25"/>
  <cols>
    <col min="1" max="1" width="12.42578125" customWidth="1"/>
    <col min="2" max="5" width="13.28515625" bestFit="1" customWidth="1"/>
  </cols>
  <sheetData>
    <row r="1" spans="1:7" s="2" customFormat="1" ht="24.95" customHeight="1" x14ac:dyDescent="0.25">
      <c r="A1" s="34" t="s">
        <v>20</v>
      </c>
      <c r="B1" s="34"/>
      <c r="C1" s="34"/>
      <c r="D1" s="34"/>
      <c r="E1" s="34"/>
      <c r="F1" s="7"/>
      <c r="G1" s="7"/>
    </row>
    <row r="2" spans="1:7" s="2" customFormat="1" ht="9.75" customHeight="1" x14ac:dyDescent="0.25">
      <c r="A2" s="7"/>
      <c r="B2" s="7"/>
      <c r="C2" s="7"/>
      <c r="D2" s="7"/>
      <c r="E2" s="7"/>
      <c r="F2" s="7"/>
      <c r="G2" s="7"/>
    </row>
    <row r="3" spans="1:7" s="2" customFormat="1" ht="24.95" customHeight="1" x14ac:dyDescent="0.25">
      <c r="A3" s="7"/>
      <c r="B3" s="9" t="s">
        <v>21</v>
      </c>
      <c r="C3" s="9" t="s">
        <v>22</v>
      </c>
      <c r="D3" s="9" t="s">
        <v>23</v>
      </c>
      <c r="E3" s="9" t="s">
        <v>24</v>
      </c>
      <c r="F3" s="7"/>
      <c r="G3" s="7"/>
    </row>
    <row r="4" spans="1:7" s="2" customFormat="1" ht="24.95" customHeight="1" x14ac:dyDescent="0.25">
      <c r="A4" s="9" t="s">
        <v>25</v>
      </c>
      <c r="B4" s="10">
        <v>1210</v>
      </c>
      <c r="C4" s="10">
        <v>845</v>
      </c>
      <c r="D4" s="10">
        <v>987</v>
      </c>
      <c r="E4" s="10">
        <v>2150</v>
      </c>
      <c r="F4" s="7"/>
      <c r="G4" s="7"/>
    </row>
    <row r="5" spans="1:7" s="2" customFormat="1" ht="24.95" customHeight="1" x14ac:dyDescent="0.25">
      <c r="A5" s="9" t="s">
        <v>26</v>
      </c>
      <c r="B5" s="10">
        <v>1950</v>
      </c>
      <c r="C5" s="10">
        <v>457</v>
      </c>
      <c r="D5" s="10">
        <v>1240</v>
      </c>
      <c r="E5" s="10">
        <v>6410</v>
      </c>
      <c r="F5" s="7"/>
      <c r="G5" s="7"/>
    </row>
    <row r="6" spans="1:7" s="2" customFormat="1" ht="24.95" customHeight="1" x14ac:dyDescent="0.25">
      <c r="A6" s="9" t="s">
        <v>27</v>
      </c>
      <c r="B6" s="10">
        <v>1420</v>
      </c>
      <c r="C6" s="10">
        <v>1254</v>
      </c>
      <c r="D6" s="10">
        <v>2510</v>
      </c>
      <c r="E6" s="10">
        <v>1001</v>
      </c>
      <c r="F6" s="7"/>
      <c r="G6" s="7"/>
    </row>
    <row r="7" spans="1:7" s="2" customFormat="1" ht="24.95" customHeight="1" x14ac:dyDescent="0.25">
      <c r="A7" s="9" t="s">
        <v>28</v>
      </c>
      <c r="B7" s="10">
        <v>2010</v>
      </c>
      <c r="C7" s="10">
        <v>620</v>
      </c>
      <c r="D7" s="10">
        <v>3140</v>
      </c>
      <c r="E7" s="10">
        <v>2014</v>
      </c>
      <c r="F7" s="7"/>
      <c r="G7" s="7"/>
    </row>
    <row r="8" spans="1:7" s="2" customFormat="1" ht="24.95" customHeight="1" x14ac:dyDescent="0.25">
      <c r="A8" s="9" t="s">
        <v>29</v>
      </c>
      <c r="B8" s="10">
        <v>2314</v>
      </c>
      <c r="C8" s="10">
        <v>972</v>
      </c>
      <c r="D8" s="10">
        <v>4510</v>
      </c>
      <c r="E8" s="10">
        <v>3240</v>
      </c>
      <c r="F8" s="7"/>
      <c r="G8" s="7"/>
    </row>
    <row r="9" spans="1:7" s="2" customFormat="1" ht="24.95" customHeight="1" x14ac:dyDescent="0.25">
      <c r="A9" s="9" t="s">
        <v>30</v>
      </c>
      <c r="B9" s="10">
        <v>4052</v>
      </c>
      <c r="C9" s="10">
        <v>6044</v>
      </c>
      <c r="D9" s="10">
        <v>610</v>
      </c>
      <c r="E9" s="10">
        <v>6230</v>
      </c>
      <c r="F9" s="7"/>
      <c r="G9" s="7"/>
    </row>
    <row r="10" spans="1:7" s="2" customFormat="1" ht="24.95" customHeight="1" x14ac:dyDescent="0.25">
      <c r="A10" s="12" t="s">
        <v>31</v>
      </c>
      <c r="B10" s="11"/>
      <c r="C10" s="11"/>
      <c r="D10" s="11"/>
      <c r="E10" s="11"/>
      <c r="F10" s="7"/>
      <c r="G10" s="7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13"/>
      <c r="C12" s="13"/>
      <c r="D12" s="13"/>
      <c r="E12" s="13"/>
      <c r="F12" s="8"/>
      <c r="G12" s="8"/>
    </row>
    <row r="13" spans="1:7" x14ac:dyDescent="0.25">
      <c r="A13" s="8"/>
      <c r="B13" s="17"/>
      <c r="C13" s="17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>
      <selection activeCell="B1" sqref="B1:F1"/>
    </sheetView>
  </sheetViews>
  <sheetFormatPr defaultRowHeight="15" x14ac:dyDescent="0.25"/>
  <cols>
    <col min="1" max="1" width="16.42578125" bestFit="1" customWidth="1"/>
  </cols>
  <sheetData>
    <row r="1" spans="1:6" ht="24.95" customHeight="1" x14ac:dyDescent="0.25">
      <c r="A1" s="21" t="s">
        <v>32</v>
      </c>
      <c r="B1" s="35"/>
      <c r="C1" s="35"/>
      <c r="D1" s="35"/>
      <c r="E1" s="35"/>
      <c r="F1" s="35"/>
    </row>
    <row r="2" spans="1:6" ht="24.95" customHeight="1" x14ac:dyDescent="0.25">
      <c r="A2" s="14" t="s">
        <v>33</v>
      </c>
      <c r="B2" s="36"/>
      <c r="C2" s="36"/>
      <c r="D2" s="36"/>
      <c r="E2" s="36"/>
      <c r="F2" s="36"/>
    </row>
    <row r="3" spans="1:6" ht="24.95" customHeight="1" x14ac:dyDescent="0.25">
      <c r="A3" s="14" t="s">
        <v>34</v>
      </c>
      <c r="B3" s="36"/>
      <c r="C3" s="36"/>
      <c r="D3" s="36"/>
      <c r="E3" s="36"/>
      <c r="F3" s="36"/>
    </row>
  </sheetData>
  <mergeCells count="3">
    <mergeCell ref="B1:F1"/>
    <mergeCell ref="B2:F2"/>
    <mergeCell ref="B3:F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opLeftCell="A4" workbookViewId="0">
      <selection activeCell="B10" sqref="B10:F10"/>
    </sheetView>
  </sheetViews>
  <sheetFormatPr defaultRowHeight="15" x14ac:dyDescent="0.25"/>
  <cols>
    <col min="1" max="1" width="13.5703125" bestFit="1" customWidth="1"/>
    <col min="2" max="2" width="10.7109375" customWidth="1"/>
    <col min="3" max="3" width="10.85546875" customWidth="1"/>
    <col min="4" max="4" width="15.5703125" customWidth="1"/>
    <col min="5" max="5" width="14.7109375" customWidth="1"/>
    <col min="6" max="6" width="14.42578125" customWidth="1"/>
  </cols>
  <sheetData>
    <row r="1" spans="1:8" s="2" customFormat="1" ht="24.95" customHeight="1" x14ac:dyDescent="0.25">
      <c r="A1" s="38" t="s">
        <v>35</v>
      </c>
      <c r="B1" s="38"/>
      <c r="C1" s="38"/>
      <c r="D1" s="38"/>
      <c r="E1" s="38"/>
      <c r="F1" s="38"/>
    </row>
    <row r="2" spans="1:8" s="2" customFormat="1" ht="24.95" customHeight="1" x14ac:dyDescent="0.25"/>
    <row r="3" spans="1:8" s="2" customFormat="1" ht="24.95" customHeight="1" x14ac:dyDescent="0.25">
      <c r="B3" s="22" t="s">
        <v>36</v>
      </c>
      <c r="C3" s="22" t="s">
        <v>37</v>
      </c>
      <c r="D3" s="22" t="s">
        <v>38</v>
      </c>
      <c r="E3" s="22" t="s">
        <v>39</v>
      </c>
      <c r="F3" s="22" t="s">
        <v>40</v>
      </c>
    </row>
    <row r="4" spans="1:8" s="2" customFormat="1" ht="24.95" customHeight="1" x14ac:dyDescent="0.25">
      <c r="A4" s="22" t="s">
        <v>36</v>
      </c>
      <c r="B4" s="15" t="s">
        <v>41</v>
      </c>
      <c r="C4" s="23" t="s">
        <v>42</v>
      </c>
      <c r="D4" s="23" t="s">
        <v>43</v>
      </c>
      <c r="E4" s="23" t="s">
        <v>44</v>
      </c>
      <c r="F4" s="23" t="s">
        <v>45</v>
      </c>
    </row>
    <row r="5" spans="1:8" s="2" customFormat="1" ht="24.95" customHeight="1" x14ac:dyDescent="0.25">
      <c r="A5" s="22" t="s">
        <v>37</v>
      </c>
      <c r="B5" s="23" t="s">
        <v>42</v>
      </c>
      <c r="C5" s="15" t="s">
        <v>41</v>
      </c>
      <c r="D5" s="23" t="s">
        <v>46</v>
      </c>
      <c r="E5" s="23" t="s">
        <v>47</v>
      </c>
      <c r="F5" s="23" t="s">
        <v>48</v>
      </c>
    </row>
    <row r="6" spans="1:8" s="2" customFormat="1" ht="24.95" customHeight="1" x14ac:dyDescent="0.25">
      <c r="A6" s="22" t="s">
        <v>38</v>
      </c>
      <c r="B6" s="23" t="s">
        <v>43</v>
      </c>
      <c r="C6" s="23" t="s">
        <v>46</v>
      </c>
      <c r="D6" s="15" t="s">
        <v>41</v>
      </c>
      <c r="E6" s="23" t="s">
        <v>49</v>
      </c>
      <c r="F6" s="23" t="s">
        <v>50</v>
      </c>
    </row>
    <row r="7" spans="1:8" s="2" customFormat="1" ht="24.95" customHeight="1" x14ac:dyDescent="0.25">
      <c r="A7" s="22" t="s">
        <v>39</v>
      </c>
      <c r="B7" s="23" t="s">
        <v>44</v>
      </c>
      <c r="C7" s="23" t="s">
        <v>47</v>
      </c>
      <c r="D7" s="23" t="s">
        <v>49</v>
      </c>
      <c r="E7" s="15" t="s">
        <v>41</v>
      </c>
      <c r="F7" s="23" t="s">
        <v>51</v>
      </c>
    </row>
    <row r="8" spans="1:8" s="2" customFormat="1" ht="24.95" customHeight="1" x14ac:dyDescent="0.25">
      <c r="A8" s="22" t="s">
        <v>40</v>
      </c>
      <c r="B8" s="23" t="s">
        <v>45</v>
      </c>
      <c r="C8" s="23" t="s">
        <v>48</v>
      </c>
      <c r="D8" s="23" t="s">
        <v>50</v>
      </c>
      <c r="E8" s="23" t="s">
        <v>51</v>
      </c>
      <c r="F8" s="15" t="s">
        <v>41</v>
      </c>
    </row>
    <row r="10" spans="1:8" ht="24.95" customHeight="1" x14ac:dyDescent="0.25">
      <c r="A10" s="16" t="s">
        <v>52</v>
      </c>
      <c r="B10" s="37"/>
      <c r="C10" s="37"/>
      <c r="D10" s="37"/>
      <c r="E10" s="37"/>
      <c r="F10" s="37"/>
    </row>
    <row r="11" spans="1:8" ht="24.95" customHeight="1" x14ac:dyDescent="0.25">
      <c r="A11" s="16" t="s">
        <v>53</v>
      </c>
      <c r="B11" s="37"/>
      <c r="C11" s="37"/>
      <c r="D11" s="37"/>
      <c r="E11" s="37"/>
      <c r="F11" s="37"/>
    </row>
    <row r="12" spans="1:8" ht="24.95" customHeight="1" x14ac:dyDescent="0.25">
      <c r="A12" s="16" t="s">
        <v>54</v>
      </c>
      <c r="B12" s="37"/>
      <c r="C12" s="37"/>
      <c r="D12" s="37"/>
      <c r="E12" s="37"/>
      <c r="F12" s="37"/>
    </row>
    <row r="13" spans="1:8" ht="24.95" customHeight="1" x14ac:dyDescent="0.25"/>
    <row r="14" spans="1:8" ht="24.95" customHeight="1" x14ac:dyDescent="0.25">
      <c r="A14" s="16" t="s">
        <v>55</v>
      </c>
      <c r="B14" s="37"/>
      <c r="C14" s="37"/>
      <c r="D14" s="37"/>
      <c r="E14" s="37"/>
      <c r="F14" s="37"/>
      <c r="G14" s="37"/>
      <c r="H14" s="37"/>
    </row>
    <row r="15" spans="1:8" ht="24.95" customHeight="1" x14ac:dyDescent="0.25">
      <c r="A15" s="16" t="s">
        <v>56</v>
      </c>
      <c r="B15" s="37"/>
      <c r="C15" s="37"/>
      <c r="D15" s="37"/>
      <c r="E15" s="37"/>
      <c r="F15" s="37"/>
      <c r="G15" s="37"/>
      <c r="H15" s="37"/>
    </row>
    <row r="16" spans="1:8" ht="24.95" customHeight="1" x14ac:dyDescent="0.25">
      <c r="A16" s="16" t="s">
        <v>57</v>
      </c>
      <c r="B16" s="37"/>
      <c r="C16" s="37"/>
      <c r="D16" s="37"/>
      <c r="E16" s="37"/>
      <c r="F16" s="37"/>
      <c r="G16" s="37"/>
      <c r="H16" s="37"/>
    </row>
    <row r="17" ht="24.95" customHeight="1" x14ac:dyDescent="0.25"/>
    <row r="18" ht="24.95" customHeight="1" x14ac:dyDescent="0.25"/>
    <row r="19" ht="24.95" customHeight="1" x14ac:dyDescent="0.25"/>
  </sheetData>
  <mergeCells count="10">
    <mergeCell ref="B16:F16"/>
    <mergeCell ref="G14:H14"/>
    <mergeCell ref="G15:H15"/>
    <mergeCell ref="G16:H16"/>
    <mergeCell ref="A1:F1"/>
    <mergeCell ref="B10:F10"/>
    <mergeCell ref="B11:F11"/>
    <mergeCell ref="B12:F12"/>
    <mergeCell ref="B14:F14"/>
    <mergeCell ref="B15:F1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topLeftCell="B1" zoomScale="85" zoomScaleNormal="85" workbookViewId="0">
      <selection activeCell="B10" sqref="B10"/>
    </sheetView>
  </sheetViews>
  <sheetFormatPr defaultRowHeight="15" x14ac:dyDescent="0.25"/>
  <cols>
    <col min="1" max="1" width="24.140625" bestFit="1" customWidth="1"/>
    <col min="2" max="8" width="20.7109375" customWidth="1"/>
  </cols>
  <sheetData>
    <row r="1" spans="1:8" ht="24.95" customHeight="1" x14ac:dyDescent="0.25">
      <c r="A1" s="18"/>
      <c r="B1" s="18" t="s">
        <v>58</v>
      </c>
      <c r="C1" s="18" t="s">
        <v>36</v>
      </c>
      <c r="D1" s="18" t="s">
        <v>39</v>
      </c>
      <c r="E1" s="18" t="s">
        <v>40</v>
      </c>
      <c r="F1" s="18" t="s">
        <v>38</v>
      </c>
      <c r="G1" s="18" t="s">
        <v>37</v>
      </c>
      <c r="H1" s="18" t="s">
        <v>59</v>
      </c>
    </row>
    <row r="2" spans="1:8" ht="24.95" customHeight="1" x14ac:dyDescent="0.25">
      <c r="A2" s="18" t="s">
        <v>58</v>
      </c>
      <c r="B2" s="19"/>
      <c r="C2" s="20" t="s">
        <v>60</v>
      </c>
      <c r="D2" s="20" t="s">
        <v>61</v>
      </c>
      <c r="E2" s="20" t="s">
        <v>62</v>
      </c>
      <c r="F2" s="20" t="s">
        <v>63</v>
      </c>
      <c r="G2" s="20" t="s">
        <v>64</v>
      </c>
      <c r="H2" s="20" t="s">
        <v>65</v>
      </c>
    </row>
    <row r="3" spans="1:8" ht="24.95" customHeight="1" x14ac:dyDescent="0.25">
      <c r="A3" s="18" t="s">
        <v>36</v>
      </c>
      <c r="B3" s="20" t="s">
        <v>60</v>
      </c>
      <c r="C3" s="19"/>
      <c r="D3" s="20" t="s">
        <v>66</v>
      </c>
      <c r="E3" s="20" t="s">
        <v>67</v>
      </c>
      <c r="F3" s="20" t="s">
        <v>68</v>
      </c>
      <c r="G3" s="20" t="s">
        <v>69</v>
      </c>
      <c r="H3" s="20" t="s">
        <v>70</v>
      </c>
    </row>
    <row r="4" spans="1:8" ht="24.95" customHeight="1" x14ac:dyDescent="0.25">
      <c r="A4" s="18" t="s">
        <v>39</v>
      </c>
      <c r="B4" s="20" t="s">
        <v>61</v>
      </c>
      <c r="C4" s="20" t="s">
        <v>66</v>
      </c>
      <c r="D4" s="19"/>
      <c r="E4" s="20" t="s">
        <v>71</v>
      </c>
      <c r="F4" s="20" t="s">
        <v>72</v>
      </c>
      <c r="G4" s="20" t="s">
        <v>73</v>
      </c>
      <c r="H4" s="20" t="s">
        <v>74</v>
      </c>
    </row>
    <row r="5" spans="1:8" ht="24.95" customHeight="1" x14ac:dyDescent="0.25">
      <c r="A5" s="18" t="s">
        <v>40</v>
      </c>
      <c r="B5" s="20" t="s">
        <v>62</v>
      </c>
      <c r="C5" s="20" t="s">
        <v>67</v>
      </c>
      <c r="D5" s="20" t="s">
        <v>71</v>
      </c>
      <c r="E5" s="19"/>
      <c r="F5" s="20" t="s">
        <v>75</v>
      </c>
      <c r="G5" s="20" t="s">
        <v>76</v>
      </c>
      <c r="H5" s="20" t="s">
        <v>77</v>
      </c>
    </row>
    <row r="6" spans="1:8" ht="24.95" customHeight="1" x14ac:dyDescent="0.25">
      <c r="A6" s="18" t="s">
        <v>38</v>
      </c>
      <c r="B6" s="20" t="s">
        <v>63</v>
      </c>
      <c r="C6" s="20" t="s">
        <v>68</v>
      </c>
      <c r="D6" s="20" t="s">
        <v>72</v>
      </c>
      <c r="E6" s="20" t="s">
        <v>75</v>
      </c>
      <c r="F6" s="19"/>
      <c r="G6" s="20" t="s">
        <v>78</v>
      </c>
      <c r="H6" s="20" t="s">
        <v>79</v>
      </c>
    </row>
    <row r="7" spans="1:8" ht="24.95" customHeight="1" x14ac:dyDescent="0.25">
      <c r="A7" s="18" t="s">
        <v>37</v>
      </c>
      <c r="B7" s="20" t="s">
        <v>64</v>
      </c>
      <c r="C7" s="20" t="s">
        <v>69</v>
      </c>
      <c r="D7" s="20" t="s">
        <v>73</v>
      </c>
      <c r="E7" s="20" t="s">
        <v>76</v>
      </c>
      <c r="F7" s="20" t="s">
        <v>78</v>
      </c>
      <c r="G7" s="19"/>
      <c r="H7" s="20">
        <v>882</v>
      </c>
    </row>
    <row r="8" spans="1:8" ht="24.95" customHeight="1" x14ac:dyDescent="0.25">
      <c r="A8" s="18" t="s">
        <v>59</v>
      </c>
      <c r="B8" s="20" t="s">
        <v>65</v>
      </c>
      <c r="C8" s="20" t="s">
        <v>70</v>
      </c>
      <c r="D8" s="20" t="s">
        <v>74</v>
      </c>
      <c r="E8" s="20" t="s">
        <v>77</v>
      </c>
      <c r="F8" s="20" t="s">
        <v>79</v>
      </c>
      <c r="G8" s="20" t="s">
        <v>80</v>
      </c>
      <c r="H8" s="19"/>
    </row>
    <row r="9" spans="1:8" ht="24.95" customHeight="1" x14ac:dyDescent="0.25">
      <c r="A9" s="2"/>
      <c r="B9" s="2"/>
      <c r="C9" s="2"/>
      <c r="D9" s="2"/>
      <c r="E9" s="2"/>
      <c r="F9" s="2"/>
      <c r="G9" s="2"/>
      <c r="H9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H11" sqref="H11"/>
    </sheetView>
  </sheetViews>
  <sheetFormatPr defaultRowHeight="15" x14ac:dyDescent="0.25"/>
  <cols>
    <col min="1" max="1" width="23.42578125" bestFit="1" customWidth="1"/>
    <col min="2" max="2" width="12.7109375" customWidth="1"/>
    <col min="3" max="3" width="12.5703125" customWidth="1"/>
    <col min="4" max="4" width="12.7109375" customWidth="1"/>
    <col min="5" max="5" width="12.28515625" customWidth="1"/>
    <col min="6" max="6" width="12.5703125" customWidth="1"/>
  </cols>
  <sheetData>
    <row r="1" spans="1:6" ht="24.95" customHeight="1" x14ac:dyDescent="0.4">
      <c r="A1" s="39" t="s">
        <v>87</v>
      </c>
      <c r="B1" s="39"/>
      <c r="C1" s="39"/>
      <c r="D1" s="39"/>
      <c r="E1" s="39"/>
      <c r="F1" s="39"/>
    </row>
    <row r="2" spans="1:6" s="44" customFormat="1" ht="24.95" customHeight="1" x14ac:dyDescent="0.4">
      <c r="A2" s="43"/>
      <c r="B2" s="43"/>
      <c r="C2" s="43"/>
      <c r="D2" s="43"/>
      <c r="E2" s="43"/>
      <c r="F2" s="43"/>
    </row>
    <row r="3" spans="1:6" ht="24.95" customHeight="1" x14ac:dyDescent="0.25">
      <c r="A3" s="30"/>
      <c r="B3" s="40" t="s">
        <v>88</v>
      </c>
      <c r="C3" s="41"/>
      <c r="D3" s="41"/>
      <c r="E3" s="41"/>
      <c r="F3" s="42"/>
    </row>
    <row r="4" spans="1:6" ht="24.95" customHeight="1" x14ac:dyDescent="0.25">
      <c r="A4" s="24" t="s">
        <v>81</v>
      </c>
      <c r="B4" s="25">
        <v>45961</v>
      </c>
      <c r="C4" s="25">
        <v>45937</v>
      </c>
      <c r="D4" s="25">
        <v>45944</v>
      </c>
      <c r="E4" s="25">
        <v>45951</v>
      </c>
      <c r="F4" s="25">
        <v>45958</v>
      </c>
    </row>
    <row r="5" spans="1:6" ht="24.95" customHeight="1" x14ac:dyDescent="0.25">
      <c r="A5" s="26" t="s">
        <v>82</v>
      </c>
      <c r="B5" s="27">
        <v>4.291666666666667</v>
      </c>
      <c r="C5" s="27">
        <v>5.166666666666667</v>
      </c>
      <c r="D5" s="27">
        <v>4.375</v>
      </c>
      <c r="E5" s="27">
        <v>5.208333333333333</v>
      </c>
      <c r="F5" s="27">
        <v>6.333333333333333</v>
      </c>
    </row>
    <row r="6" spans="1:6" ht="24.95" customHeight="1" x14ac:dyDescent="0.25">
      <c r="A6" s="28" t="s">
        <v>83</v>
      </c>
      <c r="B6" s="29">
        <v>7.208333333333333</v>
      </c>
      <c r="C6" s="29">
        <v>5.333333333333333</v>
      </c>
      <c r="D6" s="29">
        <v>6.3125</v>
      </c>
      <c r="E6" s="29">
        <v>1.3090277777777777</v>
      </c>
      <c r="F6" s="29">
        <v>2.25</v>
      </c>
    </row>
    <row r="7" spans="1:6" ht="24.95" customHeight="1" x14ac:dyDescent="0.25">
      <c r="A7" s="26" t="s">
        <v>84</v>
      </c>
      <c r="B7" s="27">
        <v>7.5</v>
      </c>
      <c r="C7" s="27">
        <v>5.333333333333333</v>
      </c>
      <c r="D7" s="27">
        <v>2.2916666666666665</v>
      </c>
      <c r="E7" s="27">
        <v>3.3090277777777777</v>
      </c>
      <c r="F7" s="27">
        <v>3.3395833333333336</v>
      </c>
    </row>
    <row r="8" spans="1:6" ht="24.95" customHeight="1" x14ac:dyDescent="0.25">
      <c r="A8" s="28" t="s">
        <v>85</v>
      </c>
      <c r="B8" s="29">
        <v>7.333333333333333</v>
      </c>
      <c r="C8" s="29">
        <v>8.2243055555555564</v>
      </c>
      <c r="D8" s="29">
        <v>6.3416666666666668</v>
      </c>
      <c r="E8" s="29">
        <v>6.083333333333333</v>
      </c>
      <c r="F8" s="29">
        <v>6.2701388888888889</v>
      </c>
    </row>
    <row r="9" spans="1:6" ht="24.95" customHeight="1" x14ac:dyDescent="0.25">
      <c r="A9" s="26" t="s">
        <v>86</v>
      </c>
      <c r="B9" s="27">
        <v>4.333333333333333</v>
      </c>
      <c r="C9" s="27">
        <v>5.3090277777777777</v>
      </c>
      <c r="D9" s="27">
        <v>3.286111111111111</v>
      </c>
      <c r="E9" s="27">
        <v>2.3493055555555555</v>
      </c>
      <c r="F9" s="27">
        <v>3.384722222222222</v>
      </c>
    </row>
    <row r="10" spans="1:6" ht="24.95" customHeight="1" x14ac:dyDescent="0.25"/>
  </sheetData>
  <mergeCells count="2">
    <mergeCell ref="B3:F3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0772-93B0-4FEE-8866-687BCFCF0CE7}">
  <dimension ref="A1:H9"/>
  <sheetViews>
    <sheetView workbookViewId="0">
      <selection activeCell="A11" sqref="A11"/>
    </sheetView>
  </sheetViews>
  <sheetFormatPr defaultRowHeight="15" x14ac:dyDescent="0.25"/>
  <cols>
    <col min="1" max="1" width="24.7109375" bestFit="1" customWidth="1"/>
    <col min="2" max="2" width="13.7109375" bestFit="1" customWidth="1"/>
    <col min="3" max="3" width="25.85546875" bestFit="1" customWidth="1"/>
    <col min="4" max="4" width="20" customWidth="1"/>
    <col min="5" max="5" width="15.28515625" customWidth="1"/>
    <col min="6" max="6" width="16" customWidth="1"/>
    <col min="7" max="7" width="14" customWidth="1"/>
    <col min="8" max="8" width="30.28515625" customWidth="1"/>
  </cols>
  <sheetData>
    <row r="1" spans="1:8" x14ac:dyDescent="0.25">
      <c r="A1" s="45" t="s">
        <v>136</v>
      </c>
      <c r="B1" s="45"/>
      <c r="C1" s="45"/>
      <c r="D1" s="45"/>
      <c r="E1" s="45"/>
      <c r="F1" s="45"/>
      <c r="G1" s="45"/>
      <c r="H1" s="45"/>
    </row>
    <row r="2" spans="1:8" x14ac:dyDescent="0.25">
      <c r="A2" s="45"/>
      <c r="B2" s="45"/>
      <c r="C2" s="45"/>
      <c r="D2" s="45"/>
      <c r="E2" s="45"/>
      <c r="F2" s="45"/>
      <c r="G2" s="45"/>
      <c r="H2" s="45"/>
    </row>
    <row r="3" spans="1:8" x14ac:dyDescent="0.25">
      <c r="A3" s="46" t="s">
        <v>89</v>
      </c>
      <c r="B3" s="46" t="s">
        <v>90</v>
      </c>
      <c r="C3" s="46" t="s">
        <v>91</v>
      </c>
      <c r="D3" s="46" t="s">
        <v>92</v>
      </c>
      <c r="E3" s="46" t="s">
        <v>93</v>
      </c>
      <c r="F3" s="46" t="s">
        <v>94</v>
      </c>
      <c r="G3" s="46" t="s">
        <v>95</v>
      </c>
      <c r="H3" s="46" t="s">
        <v>96</v>
      </c>
    </row>
    <row r="4" spans="1:8" ht="21" customHeight="1" x14ac:dyDescent="0.25">
      <c r="A4" s="47" t="s">
        <v>134</v>
      </c>
      <c r="B4" s="47" t="s">
        <v>97</v>
      </c>
      <c r="C4" s="47" t="s">
        <v>98</v>
      </c>
      <c r="D4" s="47" t="s">
        <v>99</v>
      </c>
      <c r="E4" s="47" t="s">
        <v>100</v>
      </c>
      <c r="F4" s="47" t="s">
        <v>37</v>
      </c>
      <c r="G4" s="47" t="s">
        <v>101</v>
      </c>
      <c r="H4" s="48" t="s">
        <v>135</v>
      </c>
    </row>
    <row r="5" spans="1:8" ht="21" customHeight="1" x14ac:dyDescent="0.25">
      <c r="A5" s="47" t="s">
        <v>102</v>
      </c>
      <c r="B5" s="47" t="s">
        <v>103</v>
      </c>
      <c r="C5" s="47" t="s">
        <v>104</v>
      </c>
      <c r="D5" s="47" t="s">
        <v>105</v>
      </c>
      <c r="E5" s="47" t="s">
        <v>100</v>
      </c>
      <c r="F5" s="47" t="s">
        <v>37</v>
      </c>
      <c r="G5" s="47" t="s">
        <v>106</v>
      </c>
      <c r="H5" s="48" t="s">
        <v>107</v>
      </c>
    </row>
    <row r="6" spans="1:8" ht="21" customHeight="1" x14ac:dyDescent="0.25">
      <c r="A6" s="47" t="s">
        <v>108</v>
      </c>
      <c r="B6" s="47" t="s">
        <v>109</v>
      </c>
      <c r="C6" s="47" t="s">
        <v>110</v>
      </c>
      <c r="D6" s="47" t="s">
        <v>111</v>
      </c>
      <c r="E6" s="47" t="s">
        <v>112</v>
      </c>
      <c r="F6" s="47" t="s">
        <v>37</v>
      </c>
      <c r="G6" s="47" t="s">
        <v>113</v>
      </c>
      <c r="H6" s="48" t="s">
        <v>114</v>
      </c>
    </row>
    <row r="7" spans="1:8" ht="21" customHeight="1" x14ac:dyDescent="0.25">
      <c r="A7" s="47" t="s">
        <v>115</v>
      </c>
      <c r="B7" s="47" t="s">
        <v>116</v>
      </c>
      <c r="C7" s="47" t="s">
        <v>117</v>
      </c>
      <c r="D7" s="47" t="s">
        <v>118</v>
      </c>
      <c r="E7" s="47" t="s">
        <v>100</v>
      </c>
      <c r="F7" s="47" t="s">
        <v>37</v>
      </c>
      <c r="G7" s="47" t="s">
        <v>119</v>
      </c>
      <c r="H7" s="48" t="s">
        <v>120</v>
      </c>
    </row>
    <row r="8" spans="1:8" ht="21" customHeight="1" x14ac:dyDescent="0.25">
      <c r="A8" s="47" t="s">
        <v>121</v>
      </c>
      <c r="B8" s="47" t="s">
        <v>122</v>
      </c>
      <c r="C8" s="47" t="s">
        <v>123</v>
      </c>
      <c r="D8" s="47" t="s">
        <v>124</v>
      </c>
      <c r="E8" s="47" t="s">
        <v>112</v>
      </c>
      <c r="F8" s="47" t="s">
        <v>37</v>
      </c>
      <c r="G8" s="47" t="s">
        <v>125</v>
      </c>
      <c r="H8" s="48" t="s">
        <v>126</v>
      </c>
    </row>
    <row r="9" spans="1:8" ht="21" customHeight="1" x14ac:dyDescent="0.25">
      <c r="A9" s="47" t="s">
        <v>127</v>
      </c>
      <c r="B9" s="47" t="s">
        <v>128</v>
      </c>
      <c r="C9" s="47" t="s">
        <v>129</v>
      </c>
      <c r="D9" s="47" t="s">
        <v>130</v>
      </c>
      <c r="E9" s="47" t="s">
        <v>131</v>
      </c>
      <c r="F9" s="47" t="s">
        <v>37</v>
      </c>
      <c r="G9" s="47" t="s">
        <v>132</v>
      </c>
      <c r="H9" s="48" t="s">
        <v>133</v>
      </c>
    </row>
  </sheetData>
  <mergeCells count="1">
    <mergeCell ref="A1:H2"/>
  </mergeCells>
  <hyperlinks>
    <hyperlink ref="H4" r:id="rId1" xr:uid="{B5826FE5-826D-4EFD-853F-B5CFDC245026}"/>
    <hyperlink ref="H5" r:id="rId2" xr:uid="{9B4B456D-429E-4AC8-B6FB-ED593BE1F8D2}"/>
    <hyperlink ref="H6" r:id="rId3" xr:uid="{CE8EA1C8-F615-4198-9B2E-EEE6C8D18648}"/>
    <hyperlink ref="H7" r:id="rId4" xr:uid="{866A216A-A7C3-49CB-99AD-2FFC141C0A38}"/>
    <hyperlink ref="H8" r:id="rId5" xr:uid="{EDEA99A8-9022-43B4-82CC-9411838AA3F8}"/>
    <hyperlink ref="H9" r:id="rId6" xr:uid="{6E79C907-1C73-4A67-A305-99DA791173CB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PROCV</vt:lpstr>
      <vt:lpstr>TABELA</vt:lpstr>
      <vt:lpstr>PROCH + CORRESP</vt:lpstr>
      <vt:lpstr>INDICE</vt:lpstr>
      <vt:lpstr>EXERCICIO_1</vt:lpstr>
      <vt:lpstr>EXERCICIO_2</vt:lpstr>
      <vt:lpstr>EXERCICIO_3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Info2-PC-0</dc:creator>
  <cp:lastModifiedBy>Jansen Rafael Leite</cp:lastModifiedBy>
  <dcterms:created xsi:type="dcterms:W3CDTF">2013-03-22T16:07:24Z</dcterms:created>
  <dcterms:modified xsi:type="dcterms:W3CDTF">2025-11-24T18:50:15Z</dcterms:modified>
</cp:coreProperties>
</file>