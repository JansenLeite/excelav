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13_ncr:1_{A6A7280C-0854-4A87-8A74-BF45D51FC4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ividade_01" sheetId="9" r:id="rId1"/>
    <sheet name="Atividade_02" sheetId="10" r:id="rId2"/>
    <sheet name="Atividade_03" sheetId="11" r:id="rId3"/>
    <sheet name="Atividade_04" sheetId="6" r:id="rId4"/>
    <sheet name="Atividade_05" sheetId="8" r:id="rId5"/>
    <sheet name="Atividade_0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7" l="1"/>
  <c r="K6" i="7"/>
  <c r="K7" i="7"/>
  <c r="K8" i="7"/>
  <c r="K9" i="7"/>
  <c r="K10" i="7"/>
  <c r="K11" i="7"/>
  <c r="K12" i="7"/>
  <c r="J5" i="7"/>
  <c r="J6" i="7"/>
  <c r="J7" i="7"/>
  <c r="J8" i="7"/>
  <c r="J9" i="7"/>
  <c r="J10" i="7"/>
  <c r="J11" i="7"/>
  <c r="J12" i="7"/>
  <c r="G6" i="7"/>
  <c r="G11" i="7"/>
  <c r="D5" i="7"/>
  <c r="D6" i="7"/>
  <c r="F6" i="7" s="1"/>
  <c r="D7" i="7"/>
  <c r="D8" i="7"/>
  <c r="D9" i="7"/>
  <c r="D10" i="7"/>
  <c r="G10" i="7" s="1"/>
  <c r="D11" i="7"/>
  <c r="D12" i="7"/>
  <c r="C5" i="7"/>
  <c r="C6" i="7"/>
  <c r="C7" i="7"/>
  <c r="C8" i="7"/>
  <c r="C9" i="7"/>
  <c r="C10" i="7"/>
  <c r="C11" i="7"/>
  <c r="C12" i="7"/>
  <c r="N10" i="8"/>
  <c r="N11" i="8"/>
  <c r="N12" i="8"/>
  <c r="N13" i="8"/>
  <c r="N14" i="8"/>
  <c r="M10" i="8"/>
  <c r="M11" i="8"/>
  <c r="M12" i="8"/>
  <c r="M13" i="8"/>
  <c r="M14" i="8"/>
  <c r="L10" i="8"/>
  <c r="L11" i="8"/>
  <c r="L12" i="8"/>
  <c r="L13" i="8"/>
  <c r="L14" i="8"/>
  <c r="K10" i="8"/>
  <c r="K11" i="8"/>
  <c r="K12" i="8"/>
  <c r="K13" i="8"/>
  <c r="K14" i="8"/>
  <c r="J10" i="8"/>
  <c r="J11" i="8"/>
  <c r="J12" i="8"/>
  <c r="J13" i="8"/>
  <c r="J14" i="8"/>
  <c r="C10" i="8"/>
  <c r="C11" i="8"/>
  <c r="C12" i="8"/>
  <c r="C13" i="8"/>
  <c r="C14" i="8"/>
  <c r="J5" i="6"/>
  <c r="J6" i="6"/>
  <c r="J7" i="6"/>
  <c r="J8" i="6"/>
  <c r="J9" i="6"/>
  <c r="I5" i="6"/>
  <c r="I6" i="6"/>
  <c r="I7" i="6"/>
  <c r="I8" i="6"/>
  <c r="I9" i="6"/>
  <c r="H5" i="6"/>
  <c r="H6" i="6"/>
  <c r="H7" i="6"/>
  <c r="H8" i="6"/>
  <c r="H9" i="6"/>
  <c r="G5" i="6"/>
  <c r="G6" i="6"/>
  <c r="G7" i="6"/>
  <c r="G8" i="6"/>
  <c r="G9" i="6"/>
  <c r="G4" i="6"/>
  <c r="C8" i="11"/>
  <c r="D8" i="11"/>
  <c r="E8" i="11"/>
  <c r="F8" i="11"/>
  <c r="G8" i="11"/>
  <c r="H8" i="11"/>
  <c r="I8" i="11"/>
  <c r="J8" i="11"/>
  <c r="K8" i="11"/>
  <c r="L8" i="11"/>
  <c r="M8" i="11"/>
  <c r="N8" i="11"/>
  <c r="N4" i="11"/>
  <c r="N5" i="11"/>
  <c r="N6" i="11"/>
  <c r="C9" i="10"/>
  <c r="C8" i="10"/>
  <c r="C7" i="10"/>
  <c r="C6" i="10"/>
  <c r="C5" i="10"/>
  <c r="C4" i="10"/>
  <c r="E6" i="10"/>
  <c r="G8" i="9"/>
  <c r="E12" i="7" l="1"/>
  <c r="H12" i="7" s="1"/>
  <c r="E8" i="7"/>
  <c r="H8" i="7" s="1"/>
  <c r="F12" i="7"/>
  <c r="F8" i="7"/>
  <c r="G12" i="7"/>
  <c r="G8" i="7"/>
  <c r="E11" i="7"/>
  <c r="H11" i="7" s="1"/>
  <c r="E7" i="7"/>
  <c r="H7" i="7" s="1"/>
  <c r="F11" i="7"/>
  <c r="F7" i="7"/>
  <c r="G7" i="7"/>
  <c r="F10" i="7"/>
  <c r="H10" i="7"/>
  <c r="H6" i="7"/>
  <c r="E10" i="7"/>
  <c r="E6" i="7"/>
  <c r="E9" i="7"/>
  <c r="H9" i="7" s="1"/>
  <c r="E5" i="7"/>
  <c r="H5" i="7" s="1"/>
  <c r="F9" i="7"/>
  <c r="F5" i="7"/>
  <c r="G9" i="7"/>
  <c r="G5" i="7"/>
</calcChain>
</file>

<file path=xl/sharedStrings.xml><?xml version="1.0" encoding="utf-8"?>
<sst xmlns="http://schemas.openxmlformats.org/spreadsheetml/2006/main" count="185" uniqueCount="177">
  <si>
    <t>Produto</t>
  </si>
  <si>
    <t>Status</t>
  </si>
  <si>
    <t>Itens</t>
  </si>
  <si>
    <t>Notas de Bimestre</t>
  </si>
  <si>
    <t>Aluno</t>
  </si>
  <si>
    <t>Média (Arredondada)</t>
  </si>
  <si>
    <t>Menor Nota</t>
  </si>
  <si>
    <t>Maior Nota</t>
  </si>
  <si>
    <t>Marcos Felipe</t>
  </si>
  <si>
    <t>Rosana da Silva</t>
  </si>
  <si>
    <t>Marcelo Abreu</t>
  </si>
  <si>
    <t>Lucas de Padua</t>
  </si>
  <si>
    <t>Jane Souza</t>
  </si>
  <si>
    <t>Mariana Pabliene</t>
  </si>
  <si>
    <t>Folha de Pagamento Empresa Z Tecnologia</t>
  </si>
  <si>
    <t>Colaborador</t>
  </si>
  <si>
    <t>Salário Bruto (R$)</t>
  </si>
  <si>
    <t>Desconto VT (R$)</t>
  </si>
  <si>
    <t>Desconto INSS (R$)</t>
  </si>
  <si>
    <t>Salário Liquido (R$)</t>
  </si>
  <si>
    <t>Dias Restantes para Pagamento</t>
  </si>
  <si>
    <t>Maior Salário (Liquido)</t>
  </si>
  <si>
    <t>Taxas</t>
  </si>
  <si>
    <t>Menor Salário (Liquido)</t>
  </si>
  <si>
    <t>VT (%)</t>
  </si>
  <si>
    <t>Média de Salário (Liquido)</t>
  </si>
  <si>
    <t>INSS (%)</t>
  </si>
  <si>
    <t>Data Atual</t>
  </si>
  <si>
    <t>Hora Atual</t>
  </si>
  <si>
    <t>Marcos Silva</t>
  </si>
  <si>
    <t>Adriana Nunes</t>
  </si>
  <si>
    <t>Brenda Ribeiro</t>
  </si>
  <si>
    <t>Luciano do Amaral</t>
  </si>
  <si>
    <t>Patricia Gomes</t>
  </si>
  <si>
    <t>Ronaldo Borges</t>
  </si>
  <si>
    <t>Carolina dos Santos</t>
  </si>
  <si>
    <t>Wellington Prado</t>
  </si>
  <si>
    <t>José dos Santos</t>
  </si>
  <si>
    <t>Desconto IRRF</t>
  </si>
  <si>
    <t>Dia da Semana (Pagamento)</t>
  </si>
  <si>
    <t>Data do Pagamento</t>
  </si>
  <si>
    <t>IRRF (%)</t>
  </si>
  <si>
    <t>Status de IRRF</t>
  </si>
  <si>
    <t>Nº Salários (Mínimo)</t>
  </si>
  <si>
    <t>Salário Base (Mìnimo)</t>
  </si>
  <si>
    <t>Relatórios de Vendas - 1º Semestre</t>
  </si>
  <si>
    <t>Comissão</t>
  </si>
  <si>
    <t>Bola de Futebol</t>
  </si>
  <si>
    <t>Valor Produto (Unitário)</t>
  </si>
  <si>
    <t>Vendedor</t>
  </si>
  <si>
    <t>Salário Bruto em (R$)</t>
  </si>
  <si>
    <t>Janeiro</t>
  </si>
  <si>
    <t>Fevereiro</t>
  </si>
  <si>
    <t>Março</t>
  </si>
  <si>
    <t>Comissão em (R$)</t>
  </si>
  <si>
    <t>Desconto V.T em (R$)</t>
  </si>
  <si>
    <t>Desconto INSS em (R$)</t>
  </si>
  <si>
    <t>Salário Líquido em R$</t>
  </si>
  <si>
    <t>Antonio Barbosa</t>
  </si>
  <si>
    <t>Silvio Santos</t>
  </si>
  <si>
    <t>Maria do Bairro</t>
  </si>
  <si>
    <t>Renata Amorim</t>
  </si>
  <si>
    <t>Julio Cesar</t>
  </si>
  <si>
    <t>Média Salarial (Salário Liquido em R$)</t>
  </si>
  <si>
    <t>Taxa de Desconto</t>
  </si>
  <si>
    <t>Maior Salário (Salário Liquido em R$)</t>
  </si>
  <si>
    <t>Menor Salário (Salário Liquido em R$)</t>
  </si>
  <si>
    <t>V.T (%)</t>
  </si>
  <si>
    <t>Total de Salários (Salário Liquido em R$)</t>
  </si>
  <si>
    <t>Marcos Santos</t>
  </si>
  <si>
    <t>Faturamento de Vendas em R$</t>
  </si>
  <si>
    <t>Vendas (Uni) Janeiro</t>
  </si>
  <si>
    <t>Vendas (Uni) Fevereio</t>
  </si>
  <si>
    <t>Vendas (Uni) Março</t>
  </si>
  <si>
    <t>Vendas (Uni) Abril</t>
  </si>
  <si>
    <t>Vendas (Uni) Maio</t>
  </si>
  <si>
    <t>Vendas (Uni) Junho</t>
  </si>
  <si>
    <t>Controle de Gastos</t>
  </si>
  <si>
    <t>Total Trimestre</t>
  </si>
  <si>
    <t>*</t>
  </si>
  <si>
    <t>Água</t>
  </si>
  <si>
    <t>/</t>
  </si>
  <si>
    <t>Luz</t>
  </si>
  <si>
    <t>+</t>
  </si>
  <si>
    <t>Telefone</t>
  </si>
  <si>
    <t>-</t>
  </si>
  <si>
    <t>Imóvel</t>
  </si>
  <si>
    <t>%</t>
  </si>
  <si>
    <t>Veículo</t>
  </si>
  <si>
    <t>Total Mensal</t>
  </si>
  <si>
    <t>OPERADORES ARITMÉTICOS</t>
  </si>
  <si>
    <t>Procedimento</t>
  </si>
  <si>
    <t>Resultado</t>
  </si>
  <si>
    <t>Tipo</t>
  </si>
  <si>
    <t>Significado</t>
  </si>
  <si>
    <t>20 é maior que 21</t>
  </si>
  <si>
    <t>&gt;</t>
  </si>
  <si>
    <t>32 é menor que 33</t>
  </si>
  <si>
    <t>&lt;</t>
  </si>
  <si>
    <t>14 é igual á 14</t>
  </si>
  <si>
    <t>20 é menor ou igual á 19</t>
  </si>
  <si>
    <t>&gt;=</t>
  </si>
  <si>
    <t>500 é maior ou igual á 501</t>
  </si>
  <si>
    <t>&lt;=</t>
  </si>
  <si>
    <t>13 é diferente de 789</t>
  </si>
  <si>
    <t>&lt;&gt;</t>
  </si>
  <si>
    <t>OPERADORES LÓGICOS</t>
  </si>
  <si>
    <t>CÁLCULO LÓGICO</t>
  </si>
  <si>
    <t>Planilhas de Gasto Anual</t>
  </si>
  <si>
    <t>Total Ano</t>
  </si>
  <si>
    <t>Internet</t>
  </si>
  <si>
    <t>Total Mês</t>
  </si>
  <si>
    <t>Atividade 01</t>
  </si>
  <si>
    <t>Atividade 02</t>
  </si>
  <si>
    <t>Atividade 03</t>
  </si>
  <si>
    <t>Atividade 04</t>
  </si>
  <si>
    <t>Atividade 05</t>
  </si>
  <si>
    <t>Salário Base (Mínimo)</t>
  </si>
  <si>
    <t>N° de Salários (Mínimo)</t>
  </si>
  <si>
    <t>Multiplicação</t>
  </si>
  <si>
    <t>Divisão</t>
  </si>
  <si>
    <t>Adição</t>
  </si>
  <si>
    <t>Subtração</t>
  </si>
  <si>
    <t>Porcentagem</t>
  </si>
  <si>
    <t>Igualdade</t>
  </si>
  <si>
    <t>=SOMA(B4:D4)</t>
  </si>
  <si>
    <t>=SOMA(B4:B8)</t>
  </si>
  <si>
    <t>Maior que</t>
  </si>
  <si>
    <t>Menor que</t>
  </si>
  <si>
    <t>Igual a</t>
  </si>
  <si>
    <t>Maior ou Igual a</t>
  </si>
  <si>
    <t>Menor ou Igual a</t>
  </si>
  <si>
    <t>Diferente que</t>
  </si>
  <si>
    <t>=20&gt;21</t>
  </si>
  <si>
    <t>=32&lt;33</t>
  </si>
  <si>
    <t>=14=14</t>
  </si>
  <si>
    <t>=500 &gt;=501</t>
  </si>
  <si>
    <t>=13&lt;&gt;789</t>
  </si>
  <si>
    <t>Retorno</t>
  </si>
  <si>
    <t>=20&lt;=19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</si>
  <si>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</si>
  <si>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</si>
  <si>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</si>
  <si>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</si>
  <si>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</si>
  <si>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</si>
  <si>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</si>
  <si>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</si>
  <si>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</si>
  <si>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=SOMA(B3:M3)</t>
  </si>
  <si>
    <t>=SOMA(B3:B6)</t>
  </si>
  <si>
    <t>=SE(G4&gt;=7;"Aprovado";SE(G4&gt;=5;"Recuperação";"Reprovado"))</t>
  </si>
  <si>
    <t>=MENOR(B4:F4;1)</t>
  </si>
  <si>
    <t>=MAIOR(B4:F4;1)</t>
  </si>
  <si>
    <t>=AGORA()</t>
  </si>
  <si>
    <t>=HOJE()</t>
  </si>
  <si>
    <t>=B9*$B$3</t>
  </si>
  <si>
    <t>=SOMA(C9:I9)*$B$6</t>
  </si>
  <si>
    <t>=J9*$B$4</t>
  </si>
  <si>
    <t>=C9*$E$18</t>
  </si>
  <si>
    <t>=C9*$E$17</t>
  </si>
  <si>
    <t>=SOMA(C9;K9)-SOMA(L9;M9)</t>
  </si>
  <si>
    <t>=MÉDIA(N9:N14)</t>
  </si>
  <si>
    <t>=MAIOR(N9:N14;1)</t>
  </si>
  <si>
    <t>=MENOR(N9:N14;1)</t>
  </si>
  <si>
    <t>=SOMA(N9:N14)</t>
  </si>
  <si>
    <t>=D4-SOMA(E4;F4;G4)</t>
  </si>
  <si>
    <t>=SE(B4&gt;2;"Declarante";"Isento")</t>
  </si>
  <si>
    <t>=B4*$K$1</t>
  </si>
  <si>
    <t>=D4*$F$15</t>
  </si>
  <si>
    <t>=D4*$F$16</t>
  </si>
  <si>
    <t>=SE(B4&gt;2;D4*$F$17;0)</t>
  </si>
  <si>
    <t>=DIAS360(HOJE();I4)</t>
  </si>
  <si>
    <t>=ESCOLHER(DIA.DA.SEMANA(I4);"DOMINGO";"SEGUNDA-FEIRA";"TERÇA-FEIRA";"QUARTA-FEIRA";"QUINTA-FEIRA";"SEXTA-FEIRA";"SÁBADO")</t>
  </si>
  <si>
    <t>=MAIOR(H4:H12;1)</t>
  </si>
  <si>
    <t>=MENOR(H4:H12;1)</t>
  </si>
  <si>
    <t>=MÉDIA(H4:H12)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</si>
</sst>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4" tint="0.7999816888943144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4"/>
      <color theme="8" tint="0.59999389629810485"/>
      <name val="Calibri"/>
      <family val="2"/>
      <scheme val="minor"/>
    </font>
    <font>
      <b/>
      <sz val="10"/>
      <color theme="8" tint="0.59999389629810485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3"/>
      <color theme="0"/>
      <name val="Arial"/>
      <family val="2"/>
    </font>
    <font>
      <b/>
      <sz val="13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9" fontId="4" fillId="9" borderId="1" xfId="0" applyNumberFormat="1" applyFont="1" applyFill="1" applyBorder="1" applyAlignment="1">
      <alignment horizontal="left" vertical="center"/>
    </xf>
    <xf numFmtId="44" fontId="0" fillId="0" borderId="0" xfId="0" applyNumberFormat="1" applyAlignment="1">
      <alignment vertical="center"/>
    </xf>
    <xf numFmtId="0" fontId="9" fillId="12" borderId="12" xfId="0" applyFont="1" applyFill="1" applyBorder="1" applyAlignment="1">
      <alignment vertical="center"/>
    </xf>
    <xf numFmtId="0" fontId="9" fillId="12" borderId="12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/>
    </xf>
    <xf numFmtId="0" fontId="0" fillId="0" borderId="12" xfId="0" applyBorder="1"/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44" fontId="8" fillId="0" borderId="12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2" fillId="12" borderId="12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4" fillId="13" borderId="1" xfId="0" applyFont="1" applyFill="1" applyBorder="1" applyAlignment="1">
      <alignment vertical="center"/>
    </xf>
    <xf numFmtId="0" fontId="0" fillId="14" borderId="0" xfId="0" applyFill="1" applyAlignment="1">
      <alignment vertical="center"/>
    </xf>
    <xf numFmtId="9" fontId="0" fillId="14" borderId="0" xfId="0" applyNumberFormat="1" applyFill="1" applyAlignment="1">
      <alignment horizontal="center" vertical="center"/>
    </xf>
    <xf numFmtId="44" fontId="0" fillId="14" borderId="0" xfId="1" applyFont="1" applyFill="1" applyAlignment="1">
      <alignment horizontal="center" vertical="center"/>
    </xf>
    <xf numFmtId="0" fontId="0" fillId="14" borderId="0" xfId="0" applyFill="1"/>
    <xf numFmtId="0" fontId="0" fillId="14" borderId="1" xfId="0" applyFill="1" applyBorder="1" applyAlignment="1">
      <alignment vertical="center"/>
    </xf>
    <xf numFmtId="9" fontId="0" fillId="14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4" fillId="15" borderId="1" xfId="0" applyFont="1" applyFill="1" applyBorder="1" applyAlignment="1">
      <alignment vertical="center"/>
    </xf>
    <xf numFmtId="44" fontId="4" fillId="16" borderId="1" xfId="1" applyFont="1" applyFill="1" applyBorder="1" applyAlignment="1">
      <alignment horizontal="left" vertical="center"/>
    </xf>
    <xf numFmtId="9" fontId="4" fillId="16" borderId="1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vertical="center"/>
    </xf>
    <xf numFmtId="0" fontId="13" fillId="15" borderId="10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  <xf numFmtId="44" fontId="8" fillId="0" borderId="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44" fontId="8" fillId="0" borderId="11" xfId="0" applyNumberFormat="1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4" fillId="17" borderId="1" xfId="0" applyFont="1" applyFill="1" applyBorder="1"/>
    <xf numFmtId="0" fontId="4" fillId="17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7" fillId="11" borderId="12" xfId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44" fontId="0" fillId="0" borderId="1" xfId="1" quotePrefix="1" applyFont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0" fillId="10" borderId="0" xfId="0" applyFill="1"/>
    <xf numFmtId="44" fontId="0" fillId="10" borderId="0" xfId="1" applyFont="1" applyFill="1"/>
    <xf numFmtId="44" fontId="0" fillId="18" borderId="0" xfId="1" applyFont="1" applyFill="1"/>
    <xf numFmtId="0" fontId="2" fillId="19" borderId="0" xfId="0" applyFont="1" applyFill="1" applyAlignment="1">
      <alignment horizontal="center" vertical="center"/>
    </xf>
    <xf numFmtId="0" fontId="0" fillId="20" borderId="0" xfId="0" applyFill="1"/>
    <xf numFmtId="44" fontId="0" fillId="0" borderId="0" xfId="1" quotePrefix="1" applyFont="1"/>
    <xf numFmtId="44" fontId="0" fillId="18" borderId="0" xfId="1" quotePrefix="1" applyFont="1" applyFill="1"/>
    <xf numFmtId="0" fontId="0" fillId="0" borderId="1" xfId="0" quotePrefix="1" applyBorder="1" applyAlignment="1">
      <alignment horizontal="center" vertical="center"/>
    </xf>
    <xf numFmtId="0" fontId="3" fillId="4" borderId="1" xfId="0" quotePrefix="1" applyFont="1" applyFill="1" applyBorder="1" applyAlignment="1">
      <alignment vertical="center"/>
    </xf>
    <xf numFmtId="14" fontId="3" fillId="4" borderId="1" xfId="0" quotePrefix="1" applyNumberFormat="1" applyFont="1" applyFill="1" applyBorder="1" applyAlignment="1">
      <alignment vertical="center"/>
    </xf>
    <xf numFmtId="44" fontId="8" fillId="0" borderId="1" xfId="0" quotePrefix="1" applyNumberFormat="1" applyFont="1" applyBorder="1" applyAlignment="1">
      <alignment horizontal="center" vertical="center"/>
    </xf>
    <xf numFmtId="0" fontId="8" fillId="0" borderId="1" xfId="0" quotePrefix="1" applyNumberFormat="1" applyFont="1" applyBorder="1" applyAlignment="1">
      <alignment horizontal="center" vertical="center"/>
    </xf>
    <xf numFmtId="44" fontId="8" fillId="0" borderId="9" xfId="0" quotePrefix="1" applyNumberFormat="1" applyFont="1" applyBorder="1" applyAlignment="1">
      <alignment horizontal="center" vertical="center"/>
    </xf>
    <xf numFmtId="44" fontId="8" fillId="5" borderId="1" xfId="0" quotePrefix="1" applyNumberFormat="1" applyFont="1" applyFill="1" applyBorder="1" applyAlignment="1">
      <alignment vertical="center"/>
    </xf>
    <xf numFmtId="44" fontId="8" fillId="0" borderId="12" xfId="0" quotePrefix="1" applyNumberFormat="1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center" vertical="center"/>
    </xf>
    <xf numFmtId="44" fontId="0" fillId="8" borderId="12" xfId="0" quotePrefix="1" applyNumberFormat="1" applyFill="1" applyBorder="1" applyAlignment="1">
      <alignment vertical="center"/>
    </xf>
  </cellXfs>
  <cellStyles count="2">
    <cellStyle name="Moeda" xfId="1" builtinId="4"/>
    <cellStyle name="Normal" xfId="0" builtinId="0"/>
  </cellStyles>
  <dxfs count="53">
    <dxf>
      <font>
        <color rgb="FF00B050"/>
      </font>
    </dxf>
    <dxf>
      <font>
        <color theme="9" tint="-0.24994659260841701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1" tint="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border>
        <top style="thin">
          <color theme="4" tint="0.59999389629810485"/>
        </top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0.599993896298104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/>
        <bottom/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0.59999389629810485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124558</xdr:colOff>
      <xdr:row>9</xdr:row>
      <xdr:rowOff>139212</xdr:rowOff>
    </xdr:from>
    <xdr:to>
      <xdr:col>5</xdr:col>
      <xdr:colOff>109905</xdr:colOff>
      <xdr:row>20</xdr:row>
      <xdr:rowOff>109904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7DA2107-5354-43DE-B636-656B9D9CE134}"/>
            </a:ext>
          </a:extLst>
        </xdr:cNvPr>
        <xdr:cNvSpPr txBox="1"/>
      </xdr:nvSpPr>
      <xdr:spPr>
        <a:xfrm>
          <a:off x="124558" y="2879481"/>
          <a:ext cx="4132385" cy="2066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DE GASTOS</a:t>
          </a:r>
          <a:endParaRPr lang="pt-BR">
            <a:solidFill>
              <a:schemeClr val="accent5">
                <a:lumMod val="75000"/>
              </a:schemeClr>
            </a:solidFill>
            <a:effectLst/>
          </a:endParaRPr>
        </a:p>
        <a:p>
          <a:endParaRPr lang="pt-BR" sz="1100" baseline="0"/>
        </a:p>
        <a:p>
          <a:r>
            <a:rPr lang="pt-BR" sz="1100" b="1" baseline="0"/>
            <a:t>1)</a:t>
          </a:r>
          <a:r>
            <a:rPr lang="pt-BR" sz="1100" b="0" baseline="0"/>
            <a:t> Calcule o</a:t>
          </a:r>
          <a:r>
            <a:rPr lang="pt-BR" sz="1100" b="1" baseline="0"/>
            <a:t> TOTAL TRIMESTRE </a:t>
          </a:r>
          <a:r>
            <a:rPr lang="pt-BR" sz="1100" b="0" baseline="0"/>
            <a:t>e o</a:t>
          </a:r>
          <a:r>
            <a:rPr lang="pt-BR" sz="1100" b="1" baseline="0"/>
            <a:t> TOTAL MENSAL. </a:t>
          </a:r>
          <a:r>
            <a:rPr lang="pt-BR" sz="1100" b="0" baseline="0"/>
            <a:t>Considere as boas práticas de execução de cálculos do Excel.</a:t>
          </a:r>
        </a:p>
        <a:p>
          <a:endParaRPr lang="pt-BR" sz="1100" baseline="0"/>
        </a:p>
        <a:p>
          <a:r>
            <a:rPr lang="pt-BR" sz="1100" b="1" baseline="0"/>
            <a:t>2) </a:t>
          </a:r>
          <a:r>
            <a:rPr lang="pt-BR" sz="1100" b="0" baseline="0"/>
            <a:t>Converta todos os Números para </a:t>
          </a:r>
          <a:r>
            <a:rPr lang="pt-BR" sz="1100" b="1" baseline="0"/>
            <a:t>Moeda do Brasil</a:t>
          </a:r>
          <a:r>
            <a:rPr lang="pt-BR" sz="1100" b="0" baseline="0"/>
            <a:t> (R$).</a:t>
          </a:r>
        </a:p>
        <a:p>
          <a:endParaRPr lang="pt-BR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 - OPERADORES ARITMÉTICOS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r>
            <a:rPr lang="pt-BR" sz="1100" b="1"/>
            <a:t>1)</a:t>
          </a:r>
          <a:r>
            <a:rPr lang="pt-BR" sz="1100" b="0"/>
            <a:t> Preencha</a:t>
          </a:r>
          <a:r>
            <a:rPr lang="pt-BR" sz="1100" b="0" baseline="0"/>
            <a:t> os campos com o nome do significado de cada símbolo.</a:t>
          </a:r>
          <a:endParaRPr lang="pt-BR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80596</xdr:colOff>
      <xdr:row>10</xdr:row>
      <xdr:rowOff>7327</xdr:rowOff>
    </xdr:from>
    <xdr:to>
      <xdr:col>4</xdr:col>
      <xdr:colOff>556846</xdr:colOff>
      <xdr:row>18</xdr:row>
      <xdr:rowOff>87923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F2E18C3-4922-4C89-BBF3-E55BB0AAE802}"/>
            </a:ext>
          </a:extLst>
        </xdr:cNvPr>
        <xdr:cNvSpPr txBox="1"/>
      </xdr:nvSpPr>
      <xdr:spPr>
        <a:xfrm>
          <a:off x="80596" y="2857500"/>
          <a:ext cx="4132385" cy="1604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CALCULO LÓGICO</a:t>
          </a:r>
          <a:endParaRPr lang="pt-BR">
            <a:solidFill>
              <a:schemeClr val="accent5">
                <a:lumMod val="75000"/>
              </a:schemeClr>
            </a:solidFill>
            <a:effectLst/>
          </a:endParaRPr>
        </a:p>
        <a:p>
          <a:endParaRPr lang="pt-BR" sz="1100" baseline="0"/>
        </a:p>
        <a:p>
          <a:r>
            <a:rPr lang="pt-BR" sz="1100" b="1" baseline="0"/>
            <a:t>1)</a:t>
          </a:r>
          <a:r>
            <a:rPr lang="pt-BR" sz="1100" b="0" baseline="0"/>
            <a:t> Calcule o</a:t>
          </a:r>
          <a:r>
            <a:rPr lang="pt-BR" sz="1100" b="1" baseline="0"/>
            <a:t> RESULTADO </a:t>
          </a:r>
          <a:r>
            <a:rPr lang="pt-BR" sz="1100" b="0" baseline="0"/>
            <a:t>para os cálculos lógicos a seguir</a:t>
          </a:r>
          <a:r>
            <a:rPr lang="pt-BR" sz="1100" b="1" baseline="0"/>
            <a:t>.</a:t>
          </a:r>
        </a:p>
        <a:p>
          <a:endParaRPr lang="pt-BR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 - OPERADORES LÓGICOS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r>
            <a:rPr lang="pt-BR" sz="1100" b="1"/>
            <a:t>1)</a:t>
          </a:r>
          <a:r>
            <a:rPr lang="pt-BR" sz="1100" b="0"/>
            <a:t> Preencha</a:t>
          </a:r>
          <a:r>
            <a:rPr lang="pt-BR" sz="1100" b="0" baseline="0"/>
            <a:t> os campos com o nome do significado de cada símbolo.</a:t>
          </a:r>
          <a:endParaRPr lang="pt-BR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9</xdr:row>
      <xdr:rowOff>19049</xdr:rowOff>
    </xdr:from>
    <xdr:to>
      <xdr:col>7</xdr:col>
      <xdr:colOff>27110</xdr:colOff>
      <xdr:row>18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87ECA9B-1D7E-46C7-B489-86E6B06C3D95}"/>
            </a:ext>
          </a:extLst>
        </xdr:cNvPr>
        <xdr:cNvSpPr txBox="1"/>
      </xdr:nvSpPr>
      <xdr:spPr>
        <a:xfrm>
          <a:off x="161925" y="1733549"/>
          <a:ext cx="4132385" cy="1733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PLANILHA DE GASTO ATUAL</a:t>
          </a:r>
          <a:endParaRPr lang="pt-BR">
            <a:solidFill>
              <a:schemeClr val="accent5">
                <a:lumMod val="75000"/>
              </a:schemeClr>
            </a:solidFill>
            <a:effectLst/>
          </a:endParaRPr>
        </a:p>
        <a:p>
          <a:endParaRPr lang="pt-BR" sz="1100" baseline="0"/>
        </a:p>
        <a:p>
          <a:r>
            <a:rPr lang="pt-BR" sz="1100" b="1" baseline="0"/>
            <a:t>1)</a:t>
          </a:r>
          <a:r>
            <a:rPr lang="pt-BR" sz="1100" b="0" baseline="0"/>
            <a:t> Calcule o</a:t>
          </a:r>
          <a:r>
            <a:rPr lang="pt-BR" sz="1100" b="1" baseline="0"/>
            <a:t> TOTAL ANO </a:t>
          </a:r>
          <a:r>
            <a:rPr lang="pt-BR" sz="1100" b="0" baseline="0"/>
            <a:t>e o</a:t>
          </a:r>
          <a:r>
            <a:rPr lang="pt-BR" sz="1100" b="1" baseline="0"/>
            <a:t> TOTAL MÊS. </a:t>
          </a:r>
          <a:r>
            <a:rPr lang="pt-BR" sz="1100" b="0" baseline="0"/>
            <a:t>Considere as boas práticas de execução de cálculos do Excel. A planilha deverá projetar o gasto anual dos itens informados. Em caso de falta de informação, você poderá provisionar ao seu critério.</a:t>
          </a:r>
        </a:p>
        <a:p>
          <a:endParaRPr lang="pt-BR" sz="1100" baseline="0"/>
        </a:p>
        <a:p>
          <a:r>
            <a:rPr lang="pt-BR" sz="1100" b="1" baseline="0"/>
            <a:t>2) </a:t>
          </a:r>
          <a:r>
            <a:rPr lang="pt-BR" sz="1100" b="0" baseline="0"/>
            <a:t>Formate a Planilha usando as boas Práticas de Formatação do Excel.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</xdr:colOff>
      <xdr:row>10</xdr:row>
      <xdr:rowOff>12011</xdr:rowOff>
    </xdr:from>
    <xdr:to>
      <xdr:col>3</xdr:col>
      <xdr:colOff>414130</xdr:colOff>
      <xdr:row>41</xdr:row>
      <xdr:rowOff>66261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737" y="2778402"/>
          <a:ext cx="3396697" cy="595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accent4">
                  <a:lumMod val="75000"/>
                </a:schemeClr>
              </a:solidFill>
            </a:rPr>
            <a:t>ORIENTAÇÕES:</a:t>
          </a:r>
        </a:p>
        <a:p>
          <a:r>
            <a:rPr lang="pt-BR" sz="1000" b="1">
              <a:solidFill>
                <a:schemeClr val="accent4">
                  <a:lumMod val="75000"/>
                </a:schemeClr>
              </a:solidFill>
            </a:rPr>
            <a:t>Considere a tuilização</a:t>
          </a:r>
          <a:r>
            <a:rPr lang="pt-BR" sz="1000" b="1" baseline="0">
              <a:solidFill>
                <a:schemeClr val="accent4">
                  <a:lumMod val="75000"/>
                </a:schemeClr>
              </a:solidFill>
            </a:rPr>
            <a:t> d</a:t>
          </a:r>
          <a:r>
            <a:rPr lang="pt-BR" sz="1000" b="1">
              <a:solidFill>
                <a:schemeClr val="accent4">
                  <a:lumMod val="75000"/>
                </a:schemeClr>
              </a:solidFill>
            </a:rPr>
            <a:t>as boas práticas de excução de métodos</a:t>
          </a:r>
          <a:r>
            <a:rPr lang="pt-BR" sz="1000" b="1" baseline="0">
              <a:solidFill>
                <a:schemeClr val="accent4">
                  <a:lumMod val="75000"/>
                </a:schemeClr>
              </a:solidFill>
            </a:rPr>
            <a:t> e funções do Excel.</a:t>
          </a:r>
          <a:endParaRPr lang="pt-BR" sz="1000" b="1">
            <a:solidFill>
              <a:schemeClr val="accent4">
                <a:lumMod val="75000"/>
              </a:schemeClr>
            </a:solidFill>
          </a:endParaRPr>
        </a:p>
        <a:p>
          <a:endParaRPr lang="pt-BR" sz="1400" b="1">
            <a:solidFill>
              <a:schemeClr val="accent6">
                <a:lumMod val="75000"/>
              </a:schemeClr>
            </a:solidFill>
          </a:endParaRPr>
        </a:p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Hora</a:t>
          </a:r>
          <a:r>
            <a:rPr lang="pt-BR" sz="1400" b="1" baseline="0">
              <a:solidFill>
                <a:schemeClr val="accent6">
                  <a:lumMod val="75000"/>
                </a:schemeClr>
              </a:solidFill>
            </a:rPr>
            <a:t> Atual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o método do excel que executa 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hora atual.</a:t>
          </a:r>
          <a:endParaRPr lang="pt-BR" sz="1400">
            <a:effectLst/>
          </a:endParaRPr>
        </a:p>
        <a:p>
          <a:endParaRPr lang="pt-BR" sz="1400" b="1">
            <a:solidFill>
              <a:schemeClr val="accent6">
                <a:lumMod val="75000"/>
              </a:schemeClr>
            </a:solidFill>
          </a:endParaRPr>
        </a:p>
        <a:p>
          <a:pPr marL="0" indent="0"/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Data Atual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o método do excel que executa 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atual.</a:t>
          </a:r>
        </a:p>
        <a:p>
          <a:endParaRPr lang="pt-BR" sz="1400" b="1">
            <a:solidFill>
              <a:schemeClr val="accent6">
                <a:lumMod val="75000"/>
              </a:schemeClr>
            </a:solidFill>
          </a:endParaRPr>
        </a:p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Média (Arredondada)</a:t>
          </a:r>
        </a:p>
        <a:p>
          <a:r>
            <a:rPr lang="pt-BR" sz="1100"/>
            <a:t>Considerar</a:t>
          </a:r>
          <a:r>
            <a:rPr lang="pt-BR" sz="1100" baseline="0"/>
            <a:t> </a:t>
          </a:r>
          <a:r>
            <a:rPr lang="pt-BR" sz="1100" b="1" baseline="0"/>
            <a:t>Média Arredondada com 2 casas decimais</a:t>
          </a:r>
          <a:r>
            <a:rPr lang="pt-BR" sz="1100" baseline="0"/>
            <a:t> considerando as notas de todas as atividades.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o aluno atinja ou ultrapasse a nota 7,00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deverá informar "</a:t>
          </a:r>
          <a:r>
            <a:rPr lang="pt-BR" sz="1100" b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APROVADO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Caso o aluno atinja ou ultrapasse a nota 5,00 e seja inferior a 7,00 deverá informar "</a:t>
          </a:r>
          <a:r>
            <a:rPr lang="pt-BR" sz="11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RECUPERAÇÃO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e caso o aluno atinja no inferior a 5,00 deverá informa "</a:t>
          </a:r>
          <a:r>
            <a:rPr lang="pt-B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RETIDO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Será um diferencial informar o STATUS considerando a formatação condicional com as cores informadas acima.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Menor Nota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qual a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primeira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menor nota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considerando as notas de todas as atividades.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Maior Nota</a:t>
          </a:r>
        </a:p>
        <a:p>
          <a:pPr eaLnBrk="1" fontAlgn="auto" latinLnBrk="0" hangingPunct="1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qual a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primeira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maior nota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considerando as notas de todas as atividades.</a:t>
          </a:r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b="1">
            <a:effectLst/>
          </a:endParaRPr>
        </a:p>
        <a:p>
          <a:endParaRPr lang="pt-BR" sz="1100"/>
        </a:p>
        <a:p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161925</xdr:rowOff>
    </xdr:from>
    <xdr:to>
      <xdr:col>5</xdr:col>
      <xdr:colOff>95250</xdr:colOff>
      <xdr:row>37</xdr:row>
      <xdr:rowOff>47625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89C42C3-1AAB-4200-A470-AC26C8AF3ACC}"/>
            </a:ext>
          </a:extLst>
        </xdr:cNvPr>
        <xdr:cNvSpPr txBox="1"/>
      </xdr:nvSpPr>
      <xdr:spPr>
        <a:xfrm>
          <a:off x="0" y="5724525"/>
          <a:ext cx="62293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75000"/>
                </a:schemeClr>
              </a:solidFill>
            </a:rPr>
            <a:t>ORIENTAÇÕES: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empresa X tem uma estrutura de Pagamento de Sálario de Funcionários baseado no modelo de plano de carreira. Ou seja, os funcionários conforme são promovidos recebem por n° de Salários em relação ao Salário vigente estabelecido pelo governo e pela previdência social. Programe sua planilha com os seguintes requisitos: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baseline="0">
              <a:solidFill>
                <a:schemeClr val="accent4">
                  <a:lumMod val="75000"/>
                </a:schemeClr>
              </a:solidFill>
            </a:rPr>
            <a:t>Lembre de utilizar as boas práticas de execução de métodos e funções do excel.</a:t>
          </a:r>
        </a:p>
        <a:p>
          <a:endParaRPr lang="pt-BR" sz="1100" baseline="0"/>
        </a:p>
        <a:p>
          <a:r>
            <a:rPr lang="pt-BR" sz="1100" b="1" baseline="0"/>
            <a:t>1) Salário Base:</a:t>
          </a:r>
          <a:r>
            <a:rPr lang="pt-BR" sz="1100" baseline="0"/>
            <a:t> Faça uma pesquisa e informe o valor do Salário Base Mínio estabelecido para o ano vigente.</a:t>
          </a:r>
        </a:p>
        <a:p>
          <a:endParaRPr lang="pt-BR" sz="1100" baseline="0"/>
        </a:p>
        <a:p>
          <a:r>
            <a:rPr lang="pt-BR" sz="1100" b="1" baseline="0"/>
            <a:t>2) Faturamento de Vendas em R$:</a:t>
          </a:r>
          <a:r>
            <a:rPr lang="pt-BR" sz="1100" baseline="0"/>
            <a:t>  Deve ser informado o valor do faturamentovendas considerando todos itens ventidos em todo o semestre para cada vendedor.</a:t>
          </a:r>
        </a:p>
        <a:p>
          <a:endParaRPr lang="pt-BR" sz="1100" baseline="0"/>
        </a:p>
        <a:p>
          <a:r>
            <a:rPr lang="pt-BR" sz="1100" b="1" baseline="0"/>
            <a:t>3) Comissão:</a:t>
          </a:r>
          <a:r>
            <a:rPr lang="pt-BR" sz="1100" baseline="0"/>
            <a:t> Deverá informar o valor da comissão à receber pelo vendedor. O percentual de comissão deverá incidir sobre o Faturamento de Vendas em R$.</a:t>
          </a:r>
        </a:p>
        <a:p>
          <a:endParaRPr lang="pt-BR" sz="1100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123825</xdr:rowOff>
    </xdr:from>
    <xdr:to>
      <xdr:col>5</xdr:col>
      <xdr:colOff>57150</xdr:colOff>
      <xdr:row>40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17AC656-97E9-BD01-CC4F-FBA21A1B3166}"/>
            </a:ext>
          </a:extLst>
        </xdr:cNvPr>
        <xdr:cNvSpPr txBox="1"/>
      </xdr:nvSpPr>
      <xdr:spPr>
        <a:xfrm>
          <a:off x="76200" y="5705475"/>
          <a:ext cx="6229350" cy="379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75000"/>
                </a:schemeClr>
              </a:solidFill>
            </a:rPr>
            <a:t>ORIENTAÇÕES:</a:t>
          </a:r>
        </a:p>
        <a:p>
          <a:endParaRPr lang="pt-BR" sz="1100"/>
        </a:p>
        <a:p>
          <a:r>
            <a:rPr lang="pt-BR" sz="1100"/>
            <a:t>A</a:t>
          </a:r>
          <a:r>
            <a:rPr lang="pt-BR" sz="1100" baseline="0"/>
            <a:t> empresa Z Tecnologia tem uma estrutura de Pagamento de Sálario de Funcionários baseado no modelo de Plano de Carreira, ou seja, os funcionários conforme são promovidos recebem por n° de Salários em relação ao Salário vigente estabelecido pelo governo e pela previdência social. Programe sua planilha com os seguintes requisitos:</a:t>
          </a:r>
        </a:p>
        <a:p>
          <a:endParaRPr lang="pt-BR" sz="1100" baseline="0"/>
        </a:p>
        <a:p>
          <a:r>
            <a:rPr lang="pt-BR" sz="1100" b="1" baseline="0"/>
            <a:t>1) Salário Base:</a:t>
          </a:r>
          <a:r>
            <a:rPr lang="pt-BR" sz="1100" baseline="0"/>
            <a:t> Faça uma pesquisa e informe o valor do Salário Base Mínio estabelecido para o ano vigente.</a:t>
          </a:r>
        </a:p>
        <a:p>
          <a:endParaRPr lang="pt-BR" sz="1100" baseline="0"/>
        </a:p>
        <a:p>
          <a:r>
            <a:rPr lang="pt-BR" sz="1100" b="1" baseline="0"/>
            <a:t>2) Status de IRRF:</a:t>
          </a:r>
          <a:r>
            <a:rPr lang="pt-BR" sz="1100" baseline="0"/>
            <a:t>  Caso o colaborador ultrapasse 2 salários mínimos o status deverá mostrar "Declarante". Caso contrário, o status deverá mostrar "Isento".</a:t>
          </a:r>
        </a:p>
        <a:p>
          <a:endParaRPr lang="pt-BR" sz="1100" baseline="0"/>
        </a:p>
        <a:p>
          <a:r>
            <a:rPr lang="pt-BR" sz="1100" b="1" baseline="0"/>
            <a:t>3) Data do Pagamento:</a:t>
          </a:r>
          <a:r>
            <a:rPr lang="pt-BR" sz="1100" baseline="0"/>
            <a:t> Ajuste o mês e o ano para o mês e ano atual (vigente).</a:t>
          </a:r>
        </a:p>
        <a:p>
          <a:endParaRPr lang="pt-BR" sz="1100" baseline="0"/>
        </a:p>
        <a:p>
          <a:r>
            <a:rPr lang="pt-BR" sz="1100" b="1" baseline="0"/>
            <a:t>4) Dias restantes para pagamento:</a:t>
          </a:r>
          <a:r>
            <a:rPr lang="pt-BR" sz="1100" baseline="0"/>
            <a:t> Deverá informar a quantidade de dias em atraso ou faltantes para pagamento do colocaborador. Leve em considreção, como base, a data atual (data de hoje).</a:t>
          </a:r>
        </a:p>
        <a:p>
          <a:endParaRPr lang="pt-BR" sz="1100" baseline="0"/>
        </a:p>
        <a:p>
          <a:r>
            <a:rPr lang="pt-BR" sz="1100" b="1" baseline="0"/>
            <a:t>5) Dia da Semana (Pagamento):</a:t>
          </a:r>
          <a:r>
            <a:rPr lang="pt-BR" sz="1100" baseline="0"/>
            <a:t> Deverá informar em qual dia da semana o pagamento do funcionário será pago.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AF949-81E6-4A89-8578-6B9833CAE903}" name="Tabela1" displayName="Tabela1" ref="A2:N6" totalsRowShown="0" headerRowDxfId="17" dataDxfId="18" dataCellStyle="Moeda">
  <tableColumns count="14">
    <tableColumn id="1" xr3:uid="{409ACE78-7880-48CD-A663-328932189826}" name="Itens"/>
    <tableColumn id="2" xr3:uid="{3B047948-6FCE-4DA6-85CF-AD25550F10BB}" name="Janeiro" dataDxfId="31" dataCellStyle="Moeda"/>
    <tableColumn id="3" xr3:uid="{6DB03594-B091-4EE4-9D47-0EB77A6CBB8E}" name="Fevereiro" dataDxfId="30" dataCellStyle="Moeda"/>
    <tableColumn id="4" xr3:uid="{B5C4A148-E783-4635-9949-5B6FE7C0DBF2}" name="Março" dataDxfId="29" dataCellStyle="Moeda"/>
    <tableColumn id="5" xr3:uid="{5C1BB41A-22A5-4DD2-B3EA-0876ED7A0F7E}" name="Abril" dataDxfId="28" dataCellStyle="Moeda"/>
    <tableColumn id="6" xr3:uid="{FA67B33E-5541-4BEB-8ECD-3FCCD2625B05}" name="Maio" dataDxfId="27" dataCellStyle="Moeda"/>
    <tableColumn id="7" xr3:uid="{27CF79D8-B99F-41A6-BE4F-349B5BA6CA11}" name="Junho" dataDxfId="26" dataCellStyle="Moeda"/>
    <tableColumn id="8" xr3:uid="{47256DA1-D011-46C4-AC98-B075244D4765}" name="Julho" dataDxfId="25" dataCellStyle="Moeda"/>
    <tableColumn id="9" xr3:uid="{B3F99EAD-1ED2-4CC9-A5F7-E6CBD464F6AE}" name="Agosto" dataDxfId="24" dataCellStyle="Moeda"/>
    <tableColumn id="10" xr3:uid="{8C06920C-388D-4E59-9700-BB11175A500A}" name="Setembro" dataDxfId="23" dataCellStyle="Moeda"/>
    <tableColumn id="11" xr3:uid="{D4D35B88-8240-4A77-BA76-E97575483D80}" name="Outubro" dataDxfId="22" dataCellStyle="Moeda"/>
    <tableColumn id="12" xr3:uid="{6AB058A7-0070-4D5D-8DE2-BFC6D1B06FC8}" name="Novembro" dataDxfId="21" dataCellStyle="Moeda"/>
    <tableColumn id="13" xr3:uid="{1B4686E5-4DE1-4261-8659-2E14819EB26F}" name="Dezembro" dataDxfId="20" dataCellStyle="Moeda"/>
    <tableColumn id="14" xr3:uid="{8D3554EB-D6C5-419C-85A5-5F3B561D8E48}" name="Total Ano" dataDxfId="19" dataCellStyle="Moeda">
      <calculatedColumnFormula>SUM(B3:M3)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968F9-D2A0-43D6-A31B-96B9350C8974}" name="Tabela3" displayName="Tabela3" ref="A8:N14" totalsRowShown="0" headerRowDxfId="52" dataDxfId="50" headerRowBorderDxfId="51" tableBorderDxfId="49" totalsRowBorderDxfId="48">
  <tableColumns count="14">
    <tableColumn id="1" xr3:uid="{0CD6A509-E2D6-4B37-8DE3-CFDBDC945C13}" name="Vendedor" dataDxfId="47"/>
    <tableColumn id="2" xr3:uid="{596F28EF-9591-4AA1-B918-C590A51CA406}" name="N° de Salários (Mínimo)" dataDxfId="46"/>
    <tableColumn id="3" xr3:uid="{674496B9-802B-47D5-920D-687DFFC754AC}" name="Salário Bruto em (R$)" dataDxfId="16">
      <calculatedColumnFormula>B9*$B$3</calculatedColumnFormula>
    </tableColumn>
    <tableColumn id="4" xr3:uid="{401C76F8-3061-4C04-80C5-F3BBD87233A2}" name="Vendas (Uni) Janeiro" dataDxfId="45"/>
    <tableColumn id="5" xr3:uid="{88D17255-B2F2-4587-B70B-6CA8BAB38122}" name="Vendas (Uni) Fevereio" dataDxfId="44"/>
    <tableColumn id="6" xr3:uid="{B3554D19-E15B-462B-8A27-E5E467C5AF61}" name="Vendas (Uni) Março" dataDxfId="43"/>
    <tableColumn id="7" xr3:uid="{CE42443A-8495-4521-A015-C1D662910296}" name="Vendas (Uni) Abril" dataDxfId="42"/>
    <tableColumn id="8" xr3:uid="{F4E8702A-C79D-4546-9192-441B121E8152}" name="Vendas (Uni) Maio" dataDxfId="41"/>
    <tableColumn id="9" xr3:uid="{B0C1C3AC-8935-47CA-A023-3DA121B158AD}" name="Vendas (Uni) Junho" dataDxfId="40"/>
    <tableColumn id="10" xr3:uid="{19B15E7C-E33A-427C-BD96-BA016A3775BF}" name="Faturamento de Vendas em R$" dataDxfId="15">
      <calculatedColumnFormula>SUM(C9:I9)*$B$6</calculatedColumnFormula>
    </tableColumn>
    <tableColumn id="11" xr3:uid="{A1DEF517-B454-44AE-B676-0992A175F4FE}" name="Comissão em (R$)" dataDxfId="14">
      <calculatedColumnFormula>J9*$B$4</calculatedColumnFormula>
    </tableColumn>
    <tableColumn id="12" xr3:uid="{052171AD-DF31-495F-B6B5-629ECA7577D4}" name="Desconto V.T em (R$)" dataDxfId="13">
      <calculatedColumnFormula>C9*$E$18</calculatedColumnFormula>
    </tableColumn>
    <tableColumn id="13" xr3:uid="{87A11129-4A65-419C-9DE4-889CC8B690AD}" name="Desconto INSS em (R$)" dataDxfId="12">
      <calculatedColumnFormula>C9*$E$17</calculatedColumnFormula>
    </tableColumn>
    <tableColumn id="14" xr3:uid="{4C7711B4-A17F-44A2-BCC7-37A8EBB8B2F9}" name="Salário Líquido em R$" dataDxfId="11">
      <calculatedColumnFormula>SUM(C9,K9)-SUM(L9,M9)</calculatedColumnFormula>
    </tableColumn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64020-45C5-415A-B12D-31D2CFA19458}" name="Tabela2" displayName="Tabela2" ref="A3:K12" totalsRowShown="0" headerRowDxfId="39" dataDxfId="37" headerRowBorderDxfId="38" tableBorderDxfId="36" totalsRowBorderDxfId="35">
  <tableColumns count="11">
    <tableColumn id="1" xr3:uid="{1B3ED694-4956-4319-81BE-8CDC84CC99CA}" name="Colaborador" dataDxfId="34"/>
    <tableColumn id="2" xr3:uid="{DECD82AA-ED7A-48FA-B6F6-9B7535812995}" name="Nº Salários (Mínimo)" dataDxfId="33"/>
    <tableColumn id="11" xr3:uid="{7F138CE2-777D-4760-A597-A2D1220D13A4}" name="Status de IRRF" dataDxfId="10">
      <calculatedColumnFormula>IF(B4&gt;2,"Declarante","Isento")</calculatedColumnFormula>
    </tableColumn>
    <tableColumn id="3" xr3:uid="{948793A7-0413-4F91-956F-3DC3A6B0BD1D}" name="Salário Bruto (R$)" dataDxfId="9">
      <calculatedColumnFormula>B4*$K$1</calculatedColumnFormula>
    </tableColumn>
    <tableColumn id="4" xr3:uid="{308C3D66-8746-4568-BC89-DC1F62181992}" name="Desconto VT (R$)" dataDxfId="8">
      <calculatedColumnFormula>D4*$F$15</calculatedColumnFormula>
    </tableColumn>
    <tableColumn id="5" xr3:uid="{953BB6C5-1C5B-4F93-B55F-7E6FC615B018}" name="Desconto INSS (R$)" dataDxfId="7">
      <calculatedColumnFormula>D4*$F$16</calculatedColumnFormula>
    </tableColumn>
    <tableColumn id="10" xr3:uid="{E3A79698-8962-4502-B4DE-36365CD9E868}" name="Desconto IRRF" dataDxfId="6">
      <calculatedColumnFormula>IF(B4&gt;2,D4*$F$17,0)</calculatedColumnFormula>
    </tableColumn>
    <tableColumn id="6" xr3:uid="{94C642C4-5877-42FA-BFCD-4738E07549BD}" name="Salário Liquido (R$)" dataDxfId="5">
      <calculatedColumnFormula>D4-SUM(E4,F4,G4)</calculatedColumnFormula>
    </tableColumn>
    <tableColumn id="7" xr3:uid="{D526FACC-34F1-403A-8FDF-F8DB45F4D67A}" name="Data do Pagamento" dataDxfId="32"/>
    <tableColumn id="8" xr3:uid="{A0CF858D-4CD0-4F9E-87FB-F5BE5FA8B268}" name="Dias Restantes para Pagamento" dataDxfId="4">
      <calculatedColumnFormula>DAYS360(TODAY(),I4)</calculatedColumnFormula>
    </tableColumn>
    <tableColumn id="9" xr3:uid="{6753AC43-2E3A-49C7-8100-9E0E6AE9F6DF}" name="Dia da Semana (Pagamento)" dataDxfId="3">
      <calculatedColumnFormula>CHOOSE(WEEKDAY(I4),"DOMINGO","SEGUNDA-FEIRA","TERÇA-FEIRA","QUARTA-FEIRA","QUINTA-FEIRA","SEXTA-FEIRA","SÁBADO")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904-50E2-4DDE-AE6D-AA2BCBA498A7}">
  <sheetPr>
    <pageSetUpPr fitToPage="1"/>
  </sheetPr>
  <dimension ref="A1:H9"/>
  <sheetViews>
    <sheetView tabSelected="1" zoomScale="130" zoomScaleNormal="130" workbookViewId="0">
      <selection activeCell="J6" sqref="J6"/>
    </sheetView>
  </sheetViews>
  <sheetFormatPr defaultRowHeight="15" x14ac:dyDescent="0.25"/>
  <cols>
    <col min="1" max="1" width="12.28515625" bestFit="1" customWidth="1"/>
    <col min="2" max="2" width="15.28515625" bestFit="1" customWidth="1"/>
    <col min="3" max="4" width="12.7109375" bestFit="1" customWidth="1"/>
    <col min="5" max="5" width="14.5703125" bestFit="1" customWidth="1"/>
    <col min="7" max="7" width="4.85546875" customWidth="1"/>
    <col min="8" max="8" width="31.5703125" customWidth="1"/>
  </cols>
  <sheetData>
    <row r="1" spans="1:8" x14ac:dyDescent="0.25">
      <c r="A1" s="52" t="s">
        <v>77</v>
      </c>
      <c r="B1" s="52"/>
      <c r="C1" s="52"/>
      <c r="D1" s="52"/>
      <c r="E1" s="52"/>
      <c r="G1" s="53" t="s">
        <v>90</v>
      </c>
      <c r="H1" s="53"/>
    </row>
    <row r="2" spans="1:8" x14ac:dyDescent="0.25">
      <c r="A2" s="52"/>
      <c r="B2" s="52"/>
      <c r="C2" s="52"/>
      <c r="D2" s="52"/>
      <c r="E2" s="52"/>
      <c r="G2" s="54"/>
      <c r="H2" s="54"/>
    </row>
    <row r="3" spans="1:8" ht="26.25" customHeight="1" x14ac:dyDescent="0.25">
      <c r="A3" s="45" t="s">
        <v>2</v>
      </c>
      <c r="B3" s="46" t="s">
        <v>51</v>
      </c>
      <c r="C3" s="46" t="s">
        <v>52</v>
      </c>
      <c r="D3" s="46" t="s">
        <v>53</v>
      </c>
      <c r="E3" s="46" t="s">
        <v>78</v>
      </c>
      <c r="G3" s="47" t="s">
        <v>79</v>
      </c>
      <c r="H3" s="68" t="s">
        <v>119</v>
      </c>
    </row>
    <row r="4" spans="1:8" ht="26.25" customHeight="1" x14ac:dyDescent="0.25">
      <c r="A4" s="2" t="s">
        <v>80</v>
      </c>
      <c r="B4" s="69">
        <v>40.32</v>
      </c>
      <c r="C4" s="69">
        <v>39.25</v>
      </c>
      <c r="D4" s="69">
        <v>41.23</v>
      </c>
      <c r="E4" s="70" t="s">
        <v>125</v>
      </c>
      <c r="F4" s="3"/>
      <c r="G4" s="48" t="s">
        <v>81</v>
      </c>
      <c r="H4" s="68" t="s">
        <v>120</v>
      </c>
    </row>
    <row r="5" spans="1:8" ht="26.25" customHeight="1" x14ac:dyDescent="0.25">
      <c r="A5" s="2" t="s">
        <v>82</v>
      </c>
      <c r="B5" s="69">
        <v>110.23</v>
      </c>
      <c r="C5" s="69">
        <v>109.18</v>
      </c>
      <c r="D5" s="69">
        <v>98.15</v>
      </c>
      <c r="E5" s="69"/>
      <c r="F5" s="3"/>
      <c r="G5" s="48" t="s">
        <v>83</v>
      </c>
      <c r="H5" s="68" t="s">
        <v>121</v>
      </c>
    </row>
    <row r="6" spans="1:8" ht="26.25" customHeight="1" x14ac:dyDescent="0.25">
      <c r="A6" s="2" t="s">
        <v>84</v>
      </c>
      <c r="B6" s="69">
        <v>99.82</v>
      </c>
      <c r="C6" s="69">
        <v>102.35</v>
      </c>
      <c r="D6" s="69">
        <v>100.21</v>
      </c>
      <c r="E6" s="69"/>
      <c r="F6" s="3"/>
      <c r="G6" s="48" t="s">
        <v>85</v>
      </c>
      <c r="H6" s="68" t="s">
        <v>122</v>
      </c>
    </row>
    <row r="7" spans="1:8" ht="26.25" customHeight="1" x14ac:dyDescent="0.25">
      <c r="A7" s="2" t="s">
        <v>86</v>
      </c>
      <c r="B7" s="69">
        <v>600</v>
      </c>
      <c r="C7" s="69">
        <v>600</v>
      </c>
      <c r="D7" s="69">
        <v>600</v>
      </c>
      <c r="E7" s="69"/>
      <c r="F7" s="3"/>
      <c r="G7" s="48" t="s">
        <v>87</v>
      </c>
      <c r="H7" s="68" t="s">
        <v>123</v>
      </c>
    </row>
    <row r="8" spans="1:8" ht="26.25" customHeight="1" x14ac:dyDescent="0.25">
      <c r="A8" s="2" t="s">
        <v>88</v>
      </c>
      <c r="B8" s="69">
        <v>438.62</v>
      </c>
      <c r="C8" s="69">
        <v>438.62</v>
      </c>
      <c r="D8" s="69">
        <v>438.62</v>
      </c>
      <c r="E8" s="69"/>
      <c r="F8" s="3"/>
      <c r="G8" s="48" t="str">
        <f>CONCATENATE("=")</f>
        <v>=</v>
      </c>
      <c r="H8" s="68" t="s">
        <v>124</v>
      </c>
    </row>
    <row r="9" spans="1:8" ht="26.25" customHeight="1" x14ac:dyDescent="0.25">
      <c r="A9" s="49" t="s">
        <v>89</v>
      </c>
      <c r="B9" s="70" t="s">
        <v>126</v>
      </c>
      <c r="C9" s="69"/>
      <c r="D9" s="69"/>
      <c r="E9" s="69"/>
      <c r="F9" s="3"/>
      <c r="G9" s="3"/>
      <c r="H9" s="3"/>
    </row>
  </sheetData>
  <mergeCells count="2">
    <mergeCell ref="A1:E2"/>
    <mergeCell ref="G1:H2"/>
  </mergeCells>
  <pageMargins left="0.511811024" right="0.511811024" top="0.78740157499999996" bottom="0.78740157499999996" header="0.31496062000000002" footer="0.31496062000000002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B6E4-EF11-487A-AF6E-377543734998}">
  <sheetPr>
    <pageSetUpPr fitToPage="1"/>
  </sheetPr>
  <dimension ref="A1:F9"/>
  <sheetViews>
    <sheetView zoomScale="130" zoomScaleNormal="130" workbookViewId="0">
      <selection activeCell="D4" sqref="D4"/>
    </sheetView>
  </sheetViews>
  <sheetFormatPr defaultRowHeight="15" x14ac:dyDescent="0.25"/>
  <cols>
    <col min="1" max="1" width="31.28515625" customWidth="1"/>
    <col min="2" max="3" width="14.42578125" customWidth="1"/>
    <col min="5" max="5" width="9.28515625" customWidth="1"/>
    <col min="6" max="6" width="28.42578125" customWidth="1"/>
  </cols>
  <sheetData>
    <row r="1" spans="1:6" ht="17.25" customHeight="1" x14ac:dyDescent="0.25">
      <c r="A1" s="72" t="s">
        <v>107</v>
      </c>
      <c r="B1" s="73"/>
      <c r="C1" s="73"/>
      <c r="E1" s="55" t="s">
        <v>106</v>
      </c>
      <c r="F1" s="55"/>
    </row>
    <row r="2" spans="1:6" ht="17.25" customHeight="1" x14ac:dyDescent="0.25">
      <c r="A2" s="72"/>
      <c r="B2" s="73"/>
      <c r="C2" s="73"/>
      <c r="E2" s="55"/>
      <c r="F2" s="55"/>
    </row>
    <row r="3" spans="1:6" ht="20.25" customHeight="1" x14ac:dyDescent="0.25">
      <c r="A3" s="49" t="s">
        <v>91</v>
      </c>
      <c r="B3" s="49" t="s">
        <v>92</v>
      </c>
      <c r="C3" s="49" t="s">
        <v>138</v>
      </c>
      <c r="D3" s="3"/>
      <c r="E3" s="50" t="s">
        <v>93</v>
      </c>
      <c r="F3" s="50" t="s">
        <v>94</v>
      </c>
    </row>
    <row r="4" spans="1:6" ht="26.25" customHeight="1" x14ac:dyDescent="0.25">
      <c r="A4" s="2" t="s">
        <v>95</v>
      </c>
      <c r="B4" s="71" t="s">
        <v>133</v>
      </c>
      <c r="C4" s="71" t="b">
        <f>20&gt;21</f>
        <v>0</v>
      </c>
      <c r="E4" s="48" t="s">
        <v>96</v>
      </c>
      <c r="F4" s="2" t="s">
        <v>127</v>
      </c>
    </row>
    <row r="5" spans="1:6" ht="26.25" customHeight="1" x14ac:dyDescent="0.25">
      <c r="A5" s="2" t="s">
        <v>97</v>
      </c>
      <c r="B5" s="71" t="s">
        <v>134</v>
      </c>
      <c r="C5" s="71" t="b">
        <f>32&lt;33</f>
        <v>1</v>
      </c>
      <c r="E5" s="48" t="s">
        <v>98</v>
      </c>
      <c r="F5" s="2" t="s">
        <v>128</v>
      </c>
    </row>
    <row r="6" spans="1:6" ht="26.25" customHeight="1" x14ac:dyDescent="0.25">
      <c r="A6" s="2" t="s">
        <v>99</v>
      </c>
      <c r="B6" s="71" t="s">
        <v>135</v>
      </c>
      <c r="C6" s="71" t="b">
        <f>14=14</f>
        <v>1</v>
      </c>
      <c r="E6" s="48" t="str">
        <f>CONCATENATE("=")</f>
        <v>=</v>
      </c>
      <c r="F6" s="2" t="s">
        <v>129</v>
      </c>
    </row>
    <row r="7" spans="1:6" ht="26.25" customHeight="1" x14ac:dyDescent="0.25">
      <c r="A7" s="2" t="s">
        <v>100</v>
      </c>
      <c r="B7" s="71" t="s">
        <v>139</v>
      </c>
      <c r="C7" s="71" t="b">
        <f>20&lt;=19</f>
        <v>0</v>
      </c>
      <c r="E7" s="48" t="s">
        <v>101</v>
      </c>
      <c r="F7" s="2" t="s">
        <v>130</v>
      </c>
    </row>
    <row r="8" spans="1:6" ht="26.25" customHeight="1" x14ac:dyDescent="0.25">
      <c r="A8" s="2" t="s">
        <v>102</v>
      </c>
      <c r="B8" s="71" t="s">
        <v>136</v>
      </c>
      <c r="C8" s="71" t="b">
        <f>500 &gt;=501</f>
        <v>0</v>
      </c>
      <c r="E8" s="48" t="s">
        <v>103</v>
      </c>
      <c r="F8" s="2" t="s">
        <v>131</v>
      </c>
    </row>
    <row r="9" spans="1:6" ht="26.25" customHeight="1" x14ac:dyDescent="0.25">
      <c r="A9" s="2" t="s">
        <v>104</v>
      </c>
      <c r="B9" s="71" t="s">
        <v>137</v>
      </c>
      <c r="C9" s="71" t="b">
        <f>13&lt;&gt;789</f>
        <v>1</v>
      </c>
      <c r="E9" s="48" t="s">
        <v>105</v>
      </c>
      <c r="F9" s="2" t="s">
        <v>132</v>
      </c>
    </row>
  </sheetData>
  <mergeCells count="2">
    <mergeCell ref="E1:F2"/>
    <mergeCell ref="A1:C2"/>
  </mergeCells>
  <phoneticPr fontId="17" type="noConversion"/>
  <pageMargins left="0.511811024" right="0.511811024" top="0.78740157499999996" bottom="0.78740157499999996" header="0.31496062000000002" footer="0.31496062000000002"/>
  <pageSetup paperSize="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F673-A6A2-481B-84E3-CFE86CD9E2D1}">
  <sheetPr>
    <pageSetUpPr fitToPage="1"/>
  </sheetPr>
  <dimension ref="A1:N8"/>
  <sheetViews>
    <sheetView workbookViewId="0">
      <selection activeCell="O3" sqref="O3"/>
    </sheetView>
  </sheetViews>
  <sheetFormatPr defaultRowHeight="15" x14ac:dyDescent="0.25"/>
  <cols>
    <col min="1" max="1" width="11.7109375" customWidth="1"/>
    <col min="2" max="2" width="15.28515625" bestFit="1" customWidth="1"/>
    <col min="3" max="13" width="10.5703125" bestFit="1" customWidth="1"/>
    <col min="14" max="14" width="15.85546875" bestFit="1" customWidth="1"/>
  </cols>
  <sheetData>
    <row r="1" spans="1:14" ht="22.5" customHeight="1" x14ac:dyDescent="0.25">
      <c r="A1" s="77" t="s">
        <v>108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14" x14ac:dyDescent="0.25">
      <c r="A2" s="78" t="s">
        <v>2</v>
      </c>
      <c r="B2" s="78" t="s">
        <v>51</v>
      </c>
      <c r="C2" s="78" t="s">
        <v>52</v>
      </c>
      <c r="D2" s="78" t="s">
        <v>53</v>
      </c>
      <c r="E2" s="78" t="s">
        <v>140</v>
      </c>
      <c r="F2" s="78" t="s">
        <v>141</v>
      </c>
      <c r="G2" s="78" t="s">
        <v>142</v>
      </c>
      <c r="H2" s="78" t="s">
        <v>143</v>
      </c>
      <c r="I2" s="78" t="s">
        <v>144</v>
      </c>
      <c r="J2" s="78" t="s">
        <v>145</v>
      </c>
      <c r="K2" s="78" t="s">
        <v>146</v>
      </c>
      <c r="L2" s="78" t="s">
        <v>147</v>
      </c>
      <c r="M2" s="78" t="s">
        <v>148</v>
      </c>
      <c r="N2" s="78" t="s">
        <v>109</v>
      </c>
    </row>
    <row r="3" spans="1:14" x14ac:dyDescent="0.25">
      <c r="A3" t="s">
        <v>80</v>
      </c>
      <c r="B3" s="20">
        <v>45.18</v>
      </c>
      <c r="C3" s="20">
        <v>34.119999999999997</v>
      </c>
      <c r="D3" s="20">
        <v>18.2</v>
      </c>
      <c r="E3" s="20">
        <v>31.58</v>
      </c>
      <c r="F3" s="20">
        <v>14.15</v>
      </c>
      <c r="G3" s="20">
        <v>36.479999999999997</v>
      </c>
      <c r="H3" s="20">
        <v>46.56</v>
      </c>
      <c r="I3" s="20">
        <v>65.45</v>
      </c>
      <c r="J3" s="20">
        <v>45.56</v>
      </c>
      <c r="K3" s="20">
        <v>19.03</v>
      </c>
      <c r="L3" s="20">
        <v>18.940000000000001</v>
      </c>
      <c r="M3" s="20">
        <v>18.940000000000001</v>
      </c>
      <c r="N3" s="79" t="s">
        <v>149</v>
      </c>
    </row>
    <row r="4" spans="1:14" x14ac:dyDescent="0.25">
      <c r="A4" t="s">
        <v>82</v>
      </c>
      <c r="B4" s="20">
        <v>102.15</v>
      </c>
      <c r="C4" s="20">
        <v>102.03</v>
      </c>
      <c r="D4" s="20">
        <v>100.16</v>
      </c>
      <c r="E4" s="20">
        <v>98.56</v>
      </c>
      <c r="F4" s="20">
        <v>99.45</v>
      </c>
      <c r="G4" s="20">
        <v>89.46</v>
      </c>
      <c r="H4" s="20">
        <v>79.78</v>
      </c>
      <c r="I4" s="20">
        <v>86.13</v>
      </c>
      <c r="J4" s="20">
        <v>82.46</v>
      </c>
      <c r="K4" s="20">
        <v>112</v>
      </c>
      <c r="L4" s="20">
        <v>119.46</v>
      </c>
      <c r="M4" s="20">
        <v>119.46</v>
      </c>
      <c r="N4" s="20">
        <f t="shared" ref="N4:N6" si="0">SUM(B4:M4)</f>
        <v>1191.1000000000001</v>
      </c>
    </row>
    <row r="5" spans="1:14" x14ac:dyDescent="0.25">
      <c r="A5" t="s">
        <v>84</v>
      </c>
      <c r="B5" s="20">
        <v>89.46</v>
      </c>
      <c r="C5" s="20">
        <v>48.23</v>
      </c>
      <c r="D5" s="20">
        <v>118.46</v>
      </c>
      <c r="E5" s="20">
        <v>100.13</v>
      </c>
      <c r="F5" s="20">
        <v>98.9</v>
      </c>
      <c r="G5" s="20">
        <v>46.49</v>
      </c>
      <c r="H5" s="20">
        <v>156.29</v>
      </c>
      <c r="I5" s="20">
        <v>111.79</v>
      </c>
      <c r="J5" s="20">
        <v>118.46</v>
      </c>
      <c r="K5" s="20">
        <v>100.64</v>
      </c>
      <c r="L5" s="20">
        <v>99.44</v>
      </c>
      <c r="M5" s="20">
        <v>99.44</v>
      </c>
      <c r="N5" s="20">
        <f t="shared" si="0"/>
        <v>1187.73</v>
      </c>
    </row>
    <row r="6" spans="1:14" x14ac:dyDescent="0.25">
      <c r="A6" t="s">
        <v>110</v>
      </c>
      <c r="B6" s="20">
        <v>59.9</v>
      </c>
      <c r="C6" s="20">
        <v>59.9</v>
      </c>
      <c r="D6" s="20">
        <v>59.9</v>
      </c>
      <c r="E6" s="20">
        <v>59.9</v>
      </c>
      <c r="F6" s="20">
        <v>59.9</v>
      </c>
      <c r="G6" s="20">
        <v>59.9</v>
      </c>
      <c r="H6" s="20">
        <v>59.9</v>
      </c>
      <c r="I6" s="20">
        <v>59.9</v>
      </c>
      <c r="J6" s="20">
        <v>59.9</v>
      </c>
      <c r="K6" s="20">
        <v>59.9</v>
      </c>
      <c r="L6" s="20">
        <v>59.9</v>
      </c>
      <c r="M6" s="20">
        <v>59.9</v>
      </c>
      <c r="N6" s="20">
        <f t="shared" si="0"/>
        <v>718.79999999999984</v>
      </c>
    </row>
    <row r="7" spans="1:14" x14ac:dyDescent="0.2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 x14ac:dyDescent="0.25">
      <c r="A8" s="74" t="s">
        <v>111</v>
      </c>
      <c r="B8" s="80" t="s">
        <v>150</v>
      </c>
      <c r="C8" s="76">
        <f t="shared" ref="C8:N8" si="1">SUM(C3:C6)</f>
        <v>244.28</v>
      </c>
      <c r="D8" s="76">
        <f t="shared" si="1"/>
        <v>296.71999999999997</v>
      </c>
      <c r="E8" s="76">
        <f t="shared" si="1"/>
        <v>290.16999999999996</v>
      </c>
      <c r="F8" s="76">
        <f t="shared" si="1"/>
        <v>272.39999999999998</v>
      </c>
      <c r="G8" s="76">
        <f t="shared" si="1"/>
        <v>232.33</v>
      </c>
      <c r="H8" s="76">
        <f t="shared" si="1"/>
        <v>342.53</v>
      </c>
      <c r="I8" s="76">
        <f t="shared" si="1"/>
        <v>323.27</v>
      </c>
      <c r="J8" s="76">
        <f t="shared" si="1"/>
        <v>306.37999999999994</v>
      </c>
      <c r="K8" s="76">
        <f t="shared" si="1"/>
        <v>291.57</v>
      </c>
      <c r="L8" s="76">
        <f t="shared" si="1"/>
        <v>297.74</v>
      </c>
      <c r="M8" s="76">
        <f t="shared" si="1"/>
        <v>297.74</v>
      </c>
      <c r="N8" s="75">
        <f t="shared" si="1"/>
        <v>3097.6299999999997</v>
      </c>
    </row>
  </sheetData>
  <mergeCells count="1">
    <mergeCell ref="A1:N1"/>
  </mergeCells>
  <phoneticPr fontId="17" type="noConversion"/>
  <pageMargins left="0.511811024" right="0.511811024" top="0.78740157499999996" bottom="0.78740157499999996" header="0.31496062000000002" footer="0.31496062000000002"/>
  <pageSetup paperSize="9" scale="85"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0"/>
  <sheetViews>
    <sheetView zoomScale="115" zoomScaleNormal="115" workbookViewId="0">
      <selection activeCell="H13" sqref="H13"/>
    </sheetView>
  </sheetViews>
  <sheetFormatPr defaultRowHeight="15" x14ac:dyDescent="0.25"/>
  <cols>
    <col min="1" max="1" width="21.5703125" customWidth="1"/>
    <col min="2" max="2" width="12.7109375" customWidth="1"/>
    <col min="3" max="3" width="10.7109375" customWidth="1"/>
    <col min="4" max="6" width="12.140625" customWidth="1"/>
    <col min="7" max="7" width="13.85546875" customWidth="1"/>
    <col min="8" max="8" width="57.85546875" bestFit="1" customWidth="1"/>
    <col min="9" max="10" width="17.42578125" customWidth="1"/>
    <col min="11" max="12" width="14" bestFit="1" customWidth="1"/>
    <col min="13" max="13" width="10.140625" bestFit="1" customWidth="1"/>
  </cols>
  <sheetData>
    <row r="1" spans="1:13" x14ac:dyDescent="0.25">
      <c r="A1" s="56" t="s">
        <v>3</v>
      </c>
      <c r="B1" s="57"/>
      <c r="C1" s="57"/>
      <c r="D1" s="57"/>
      <c r="E1" s="57"/>
      <c r="F1" s="57"/>
      <c r="G1" s="57"/>
      <c r="H1" s="58"/>
      <c r="I1" s="19" t="s">
        <v>28</v>
      </c>
      <c r="J1" s="82" t="s">
        <v>154</v>
      </c>
    </row>
    <row r="2" spans="1:13" x14ac:dyDescent="0.25">
      <c r="A2" s="59"/>
      <c r="B2" s="60"/>
      <c r="C2" s="60"/>
      <c r="D2" s="60"/>
      <c r="E2" s="60"/>
      <c r="F2" s="60"/>
      <c r="G2" s="60"/>
      <c r="H2" s="61"/>
      <c r="I2" s="19" t="s">
        <v>27</v>
      </c>
      <c r="J2" s="83" t="s">
        <v>155</v>
      </c>
    </row>
    <row r="3" spans="1:13" ht="24" x14ac:dyDescent="0.25">
      <c r="A3" s="4" t="s">
        <v>4</v>
      </c>
      <c r="B3" s="6" t="s">
        <v>112</v>
      </c>
      <c r="C3" s="6" t="s">
        <v>113</v>
      </c>
      <c r="D3" s="6" t="s">
        <v>114</v>
      </c>
      <c r="E3" s="6" t="s">
        <v>115</v>
      </c>
      <c r="F3" s="6" t="s">
        <v>116</v>
      </c>
      <c r="G3" s="5" t="s">
        <v>5</v>
      </c>
      <c r="H3" s="5" t="s">
        <v>1</v>
      </c>
      <c r="I3" s="6" t="s">
        <v>6</v>
      </c>
      <c r="J3" s="6" t="s">
        <v>7</v>
      </c>
    </row>
    <row r="4" spans="1:13" ht="24.95" customHeight="1" x14ac:dyDescent="0.25">
      <c r="A4" s="2" t="s">
        <v>8</v>
      </c>
      <c r="B4" s="1">
        <v>7.5</v>
      </c>
      <c r="C4" s="1">
        <v>7.8</v>
      </c>
      <c r="D4" s="1">
        <v>9.5</v>
      </c>
      <c r="E4" s="1">
        <v>8.6</v>
      </c>
      <c r="F4" s="1">
        <v>4.2</v>
      </c>
      <c r="G4" s="1">
        <f>ROUND(AVERAGE(B4:F4),2)</f>
        <v>7.52</v>
      </c>
      <c r="H4" s="81" t="s">
        <v>151</v>
      </c>
      <c r="I4" s="81" t="s">
        <v>152</v>
      </c>
      <c r="J4" s="81" t="s">
        <v>153</v>
      </c>
      <c r="K4" s="20"/>
      <c r="L4" s="20"/>
      <c r="M4" s="21"/>
    </row>
    <row r="5" spans="1:13" ht="24.95" customHeight="1" x14ac:dyDescent="0.25">
      <c r="A5" s="2" t="s">
        <v>9</v>
      </c>
      <c r="B5" s="1">
        <v>3.9</v>
      </c>
      <c r="C5" s="1">
        <v>8.1999999999999993</v>
      </c>
      <c r="D5" s="1">
        <v>7.2</v>
      </c>
      <c r="E5" s="1">
        <v>9.3000000000000007</v>
      </c>
      <c r="F5" s="1">
        <v>2.6</v>
      </c>
      <c r="G5" s="1">
        <f t="shared" ref="G5:G9" si="0">ROUND(AVERAGE(B5:F5),2)</f>
        <v>6.24</v>
      </c>
      <c r="H5" s="1" t="str">
        <f t="shared" ref="H5:H9" si="1">IF(G5&gt;=7,"Aprovado",IF(G5&gt;=5,"Recuperação","Reprovado"))</f>
        <v>Recuperação</v>
      </c>
      <c r="I5" s="81">
        <f t="shared" ref="I5:I9" si="2">SMALL(B5:F5,1)</f>
        <v>2.6</v>
      </c>
      <c r="J5" s="1">
        <f t="shared" ref="J5:J9" si="3">LARGE(B5:F5,1)</f>
        <v>9.3000000000000007</v>
      </c>
      <c r="K5" s="20"/>
      <c r="L5" s="20"/>
      <c r="M5" s="21"/>
    </row>
    <row r="6" spans="1:13" ht="24.95" customHeight="1" x14ac:dyDescent="0.25">
      <c r="A6" s="2" t="s">
        <v>10</v>
      </c>
      <c r="B6" s="1">
        <v>2.8</v>
      </c>
      <c r="C6" s="1">
        <v>8.1999999999999993</v>
      </c>
      <c r="D6" s="1">
        <v>6.2</v>
      </c>
      <c r="E6" s="1">
        <v>7.9</v>
      </c>
      <c r="F6" s="1">
        <v>4.5999999999999996</v>
      </c>
      <c r="G6" s="1">
        <f t="shared" si="0"/>
        <v>5.94</v>
      </c>
      <c r="H6" s="1" t="str">
        <f t="shared" si="1"/>
        <v>Recuperação</v>
      </c>
      <c r="I6" s="81">
        <f t="shared" si="2"/>
        <v>2.8</v>
      </c>
      <c r="J6" s="1">
        <f t="shared" si="3"/>
        <v>8.1999999999999993</v>
      </c>
      <c r="K6" s="20"/>
      <c r="L6" s="20"/>
      <c r="M6" s="21"/>
    </row>
    <row r="7" spans="1:13" ht="24.95" customHeight="1" x14ac:dyDescent="0.25">
      <c r="A7" s="2" t="s">
        <v>11</v>
      </c>
      <c r="B7" s="1">
        <v>9.5</v>
      </c>
      <c r="C7" s="1">
        <v>9.6</v>
      </c>
      <c r="D7" s="1">
        <v>7.5</v>
      </c>
      <c r="E7" s="1">
        <v>8.9</v>
      </c>
      <c r="F7" s="1">
        <v>9.1</v>
      </c>
      <c r="G7" s="1">
        <f t="shared" si="0"/>
        <v>8.92</v>
      </c>
      <c r="H7" s="1" t="str">
        <f t="shared" si="1"/>
        <v>Aprovado</v>
      </c>
      <c r="I7" s="81">
        <f t="shared" si="2"/>
        <v>7.5</v>
      </c>
      <c r="J7" s="1">
        <f t="shared" si="3"/>
        <v>9.6</v>
      </c>
      <c r="K7" s="20"/>
      <c r="L7" s="20"/>
      <c r="M7" s="21"/>
    </row>
    <row r="8" spans="1:13" ht="24.95" customHeight="1" x14ac:dyDescent="0.25">
      <c r="A8" s="2" t="s">
        <v>12</v>
      </c>
      <c r="B8" s="1">
        <v>7.2</v>
      </c>
      <c r="C8" s="1">
        <v>2.1</v>
      </c>
      <c r="D8" s="1">
        <v>4.2</v>
      </c>
      <c r="E8" s="1">
        <v>8.8000000000000007</v>
      </c>
      <c r="F8" s="1">
        <v>1.5</v>
      </c>
      <c r="G8" s="1">
        <f t="shared" si="0"/>
        <v>4.76</v>
      </c>
      <c r="H8" s="1" t="str">
        <f t="shared" si="1"/>
        <v>Reprovado</v>
      </c>
      <c r="I8" s="81">
        <f t="shared" si="2"/>
        <v>1.5</v>
      </c>
      <c r="J8" s="1">
        <f t="shared" si="3"/>
        <v>8.8000000000000007</v>
      </c>
      <c r="K8" s="20"/>
      <c r="L8" s="20"/>
      <c r="M8" s="21"/>
    </row>
    <row r="9" spans="1:13" ht="24.95" customHeight="1" x14ac:dyDescent="0.25">
      <c r="A9" s="2" t="s">
        <v>13</v>
      </c>
      <c r="B9" s="1">
        <v>9.1999999999999993</v>
      </c>
      <c r="C9" s="1">
        <v>9.8000000000000007</v>
      </c>
      <c r="D9" s="1">
        <v>8.6</v>
      </c>
      <c r="E9" s="1">
        <v>9.9</v>
      </c>
      <c r="F9" s="1">
        <v>9.6999999999999993</v>
      </c>
      <c r="G9" s="1">
        <f t="shared" si="0"/>
        <v>9.44</v>
      </c>
      <c r="H9" s="1" t="str">
        <f t="shared" si="1"/>
        <v>Aprovado</v>
      </c>
      <c r="I9" s="81">
        <f t="shared" si="2"/>
        <v>8.6</v>
      </c>
      <c r="J9" s="1">
        <f t="shared" si="3"/>
        <v>9.9</v>
      </c>
      <c r="K9" s="20"/>
      <c r="L9" s="20"/>
      <c r="M9" s="21"/>
    </row>
    <row r="10" spans="1:13" x14ac:dyDescent="0.25">
      <c r="M10" s="21"/>
    </row>
  </sheetData>
  <mergeCells count="1">
    <mergeCell ref="A1:H2"/>
  </mergeCells>
  <phoneticPr fontId="17" type="noConversion"/>
  <conditionalFormatting sqref="H4:H9">
    <cfRule type="cellIs" dxfId="2" priority="1" operator="equal">
      <formula>"Reprovado"</formula>
    </cfRule>
    <cfRule type="cellIs" dxfId="1" priority="2" operator="equal">
      <formula>"Recuperação"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scale="7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2C9A-A052-43AA-AAD8-0F4297AB8DC1}">
  <sheetPr>
    <pageSetUpPr fitToPage="1"/>
  </sheetPr>
  <dimension ref="A1:N19"/>
  <sheetViews>
    <sheetView workbookViewId="0">
      <selection activeCell="E5" sqref="E5"/>
    </sheetView>
  </sheetViews>
  <sheetFormatPr defaultRowHeight="15" x14ac:dyDescent="0.25"/>
  <cols>
    <col min="1" max="1" width="37" bestFit="1" customWidth="1"/>
    <col min="2" max="2" width="19.28515625" bestFit="1" customWidth="1"/>
    <col min="3" max="3" width="16" customWidth="1"/>
    <col min="4" max="9" width="12" customWidth="1"/>
    <col min="10" max="10" width="20" bestFit="1" customWidth="1"/>
    <col min="11" max="11" width="17" customWidth="1"/>
    <col min="12" max="12" width="19.85546875" customWidth="1"/>
    <col min="13" max="13" width="20.85546875" customWidth="1"/>
    <col min="14" max="14" width="28.42578125" bestFit="1" customWidth="1"/>
  </cols>
  <sheetData>
    <row r="1" spans="1:14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spans="1:14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</row>
    <row r="3" spans="1:14" ht="25.5" customHeight="1" x14ac:dyDescent="0.25">
      <c r="A3" s="22" t="s">
        <v>117</v>
      </c>
      <c r="B3" s="31">
        <v>768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 ht="25.5" customHeight="1" x14ac:dyDescent="0.25">
      <c r="A4" s="22" t="s">
        <v>46</v>
      </c>
      <c r="B4" s="32">
        <v>0.08</v>
      </c>
      <c r="C4" s="24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25.5" customHeight="1" x14ac:dyDescent="0.25">
      <c r="A5" s="22" t="s">
        <v>0</v>
      </c>
      <c r="B5" s="32" t="s">
        <v>47</v>
      </c>
      <c r="C5" s="24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ht="25.5" customHeight="1" x14ac:dyDescent="0.25">
      <c r="A6" s="22" t="s">
        <v>48</v>
      </c>
      <c r="B6" s="31">
        <v>59.98</v>
      </c>
      <c r="C6" s="25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 x14ac:dyDescent="0.25"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1:14" ht="30" customHeight="1" x14ac:dyDescent="0.25">
      <c r="A8" s="33" t="s">
        <v>49</v>
      </c>
      <c r="B8" s="35" t="s">
        <v>118</v>
      </c>
      <c r="C8" s="35" t="s">
        <v>50</v>
      </c>
      <c r="D8" s="35" t="s">
        <v>71</v>
      </c>
      <c r="E8" s="35" t="s">
        <v>72</v>
      </c>
      <c r="F8" s="35" t="s">
        <v>73</v>
      </c>
      <c r="G8" s="35" t="s">
        <v>74</v>
      </c>
      <c r="H8" s="35" t="s">
        <v>75</v>
      </c>
      <c r="I8" s="35" t="s">
        <v>76</v>
      </c>
      <c r="J8" s="35" t="s">
        <v>70</v>
      </c>
      <c r="K8" s="34" t="s">
        <v>54</v>
      </c>
      <c r="L8" s="34" t="s">
        <v>55</v>
      </c>
      <c r="M8" s="34" t="s">
        <v>56</v>
      </c>
      <c r="N8" s="36" t="s">
        <v>57</v>
      </c>
    </row>
    <row r="9" spans="1:14" ht="23.25" customHeight="1" x14ac:dyDescent="0.25">
      <c r="A9" s="37" t="s">
        <v>58</v>
      </c>
      <c r="B9" s="51">
        <v>5</v>
      </c>
      <c r="C9" s="84" t="s">
        <v>156</v>
      </c>
      <c r="D9" s="38">
        <v>56</v>
      </c>
      <c r="E9" s="38">
        <v>38</v>
      </c>
      <c r="F9" s="38">
        <v>56</v>
      </c>
      <c r="G9" s="38">
        <v>98</v>
      </c>
      <c r="H9" s="38">
        <v>12</v>
      </c>
      <c r="I9" s="38">
        <v>2</v>
      </c>
      <c r="J9" s="84" t="s">
        <v>157</v>
      </c>
      <c r="K9" s="85" t="s">
        <v>158</v>
      </c>
      <c r="L9" s="85" t="s">
        <v>159</v>
      </c>
      <c r="M9" s="85" t="s">
        <v>160</v>
      </c>
      <c r="N9" s="86" t="s">
        <v>161</v>
      </c>
    </row>
    <row r="10" spans="1:14" ht="23.25" customHeight="1" x14ac:dyDescent="0.25">
      <c r="A10" s="37" t="s">
        <v>59</v>
      </c>
      <c r="B10" s="38">
        <v>8</v>
      </c>
      <c r="C10" s="39">
        <f t="shared" ref="C9:C14" si="0">B10*$B$3</f>
        <v>6144</v>
      </c>
      <c r="D10" s="38">
        <v>123</v>
      </c>
      <c r="E10" s="38">
        <v>546</v>
      </c>
      <c r="F10" s="38">
        <v>110</v>
      </c>
      <c r="G10" s="38">
        <v>59</v>
      </c>
      <c r="H10" s="38">
        <v>14</v>
      </c>
      <c r="I10" s="38">
        <v>458</v>
      </c>
      <c r="J10" s="39">
        <f t="shared" ref="J9:J14" si="1">SUM(C10:I10)*$B$6</f>
        <v>447090.92</v>
      </c>
      <c r="K10" s="39">
        <f t="shared" ref="K9:K14" si="2">J10*$B$4</f>
        <v>35767.2736</v>
      </c>
      <c r="L10" s="39">
        <f t="shared" ref="L9:L14" si="3">C10*$E$18</f>
        <v>368.64</v>
      </c>
      <c r="M10" s="39">
        <f t="shared" ref="M9:M14" si="4">C10*$E$17</f>
        <v>491.52</v>
      </c>
      <c r="N10" s="40">
        <f t="shared" ref="N9:N14" si="5">SUM(C10,K10)-SUM(L10,M10)</f>
        <v>41051.113599999997</v>
      </c>
    </row>
    <row r="11" spans="1:14" ht="23.25" customHeight="1" x14ac:dyDescent="0.25">
      <c r="A11" s="37" t="s">
        <v>60</v>
      </c>
      <c r="B11" s="38">
        <v>4</v>
      </c>
      <c r="C11" s="39">
        <f t="shared" si="0"/>
        <v>3072</v>
      </c>
      <c r="D11" s="38">
        <v>85</v>
      </c>
      <c r="E11" s="38">
        <v>56</v>
      </c>
      <c r="F11" s="38">
        <v>102</v>
      </c>
      <c r="G11" s="38">
        <v>51</v>
      </c>
      <c r="H11" s="38">
        <v>14</v>
      </c>
      <c r="I11" s="38">
        <v>157</v>
      </c>
      <c r="J11" s="39">
        <f t="shared" si="1"/>
        <v>212149.25999999998</v>
      </c>
      <c r="K11" s="39">
        <f t="shared" si="2"/>
        <v>16971.9408</v>
      </c>
      <c r="L11" s="39">
        <f t="shared" si="3"/>
        <v>184.32</v>
      </c>
      <c r="M11" s="39">
        <f t="shared" si="4"/>
        <v>245.76</v>
      </c>
      <c r="N11" s="40">
        <f t="shared" si="5"/>
        <v>19613.860799999999</v>
      </c>
    </row>
    <row r="12" spans="1:14" ht="23.25" customHeight="1" x14ac:dyDescent="0.25">
      <c r="A12" s="37" t="s">
        <v>61</v>
      </c>
      <c r="B12" s="38">
        <v>2</v>
      </c>
      <c r="C12" s="39">
        <f t="shared" si="0"/>
        <v>1536</v>
      </c>
      <c r="D12" s="38">
        <v>23</v>
      </c>
      <c r="E12" s="38">
        <v>159</v>
      </c>
      <c r="F12" s="38">
        <v>164</v>
      </c>
      <c r="G12" s="38">
        <v>123</v>
      </c>
      <c r="H12" s="38">
        <v>154</v>
      </c>
      <c r="I12" s="38">
        <v>15</v>
      </c>
      <c r="J12" s="39">
        <f t="shared" si="1"/>
        <v>130396.51999999999</v>
      </c>
      <c r="K12" s="39">
        <f t="shared" si="2"/>
        <v>10431.721599999999</v>
      </c>
      <c r="L12" s="39">
        <f t="shared" si="3"/>
        <v>92.16</v>
      </c>
      <c r="M12" s="39">
        <f t="shared" si="4"/>
        <v>122.88</v>
      </c>
      <c r="N12" s="40">
        <f t="shared" si="5"/>
        <v>11752.681599999998</v>
      </c>
    </row>
    <row r="13" spans="1:14" ht="23.25" customHeight="1" x14ac:dyDescent="0.25">
      <c r="A13" s="37" t="s">
        <v>62</v>
      </c>
      <c r="B13" s="38">
        <v>6</v>
      </c>
      <c r="C13" s="39">
        <f t="shared" si="0"/>
        <v>4608</v>
      </c>
      <c r="D13" s="38">
        <v>12</v>
      </c>
      <c r="E13" s="38">
        <v>1</v>
      </c>
      <c r="F13" s="38">
        <v>154</v>
      </c>
      <c r="G13" s="38">
        <v>21</v>
      </c>
      <c r="H13" s="38">
        <v>214</v>
      </c>
      <c r="I13" s="38">
        <v>41</v>
      </c>
      <c r="J13" s="39">
        <f t="shared" si="1"/>
        <v>302958.98</v>
      </c>
      <c r="K13" s="39">
        <f t="shared" si="2"/>
        <v>24236.718399999998</v>
      </c>
      <c r="L13" s="39">
        <f t="shared" si="3"/>
        <v>276.48</v>
      </c>
      <c r="M13" s="39">
        <f t="shared" si="4"/>
        <v>368.64</v>
      </c>
      <c r="N13" s="40">
        <f t="shared" si="5"/>
        <v>28199.598399999999</v>
      </c>
    </row>
    <row r="14" spans="1:14" ht="23.25" customHeight="1" x14ac:dyDescent="0.25">
      <c r="A14" s="41" t="s">
        <v>69</v>
      </c>
      <c r="B14" s="42">
        <v>5</v>
      </c>
      <c r="C14" s="43">
        <f t="shared" si="0"/>
        <v>3840</v>
      </c>
      <c r="D14" s="42">
        <v>2</v>
      </c>
      <c r="E14" s="42">
        <v>8</v>
      </c>
      <c r="F14" s="42">
        <v>4</v>
      </c>
      <c r="G14" s="42">
        <v>56</v>
      </c>
      <c r="H14" s="42">
        <v>48</v>
      </c>
      <c r="I14" s="42">
        <v>79</v>
      </c>
      <c r="J14" s="43">
        <f t="shared" si="1"/>
        <v>242139.25999999998</v>
      </c>
      <c r="K14" s="43">
        <f t="shared" si="2"/>
        <v>19371.140799999997</v>
      </c>
      <c r="L14" s="43">
        <f t="shared" si="3"/>
        <v>230.39999999999998</v>
      </c>
      <c r="M14" s="43">
        <f t="shared" si="4"/>
        <v>307.2</v>
      </c>
      <c r="N14" s="44">
        <f t="shared" si="5"/>
        <v>22673.540799999999</v>
      </c>
    </row>
    <row r="15" spans="1:14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4" ht="24" customHeight="1" x14ac:dyDescent="0.25">
      <c r="A16" s="30" t="s">
        <v>63</v>
      </c>
      <c r="B16" s="87" t="s">
        <v>162</v>
      </c>
      <c r="C16" s="23"/>
      <c r="D16" s="63" t="s">
        <v>64</v>
      </c>
      <c r="E16" s="6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24" customHeight="1" x14ac:dyDescent="0.25">
      <c r="A17" s="30" t="s">
        <v>65</v>
      </c>
      <c r="B17" s="87" t="s">
        <v>163</v>
      </c>
      <c r="C17" s="23"/>
      <c r="D17" s="27" t="s">
        <v>26</v>
      </c>
      <c r="E17" s="28">
        <v>0.08</v>
      </c>
      <c r="F17" s="23"/>
      <c r="G17" s="23"/>
      <c r="H17" s="23"/>
      <c r="I17" s="23"/>
      <c r="J17" s="23"/>
      <c r="K17" s="23"/>
      <c r="L17" s="23"/>
      <c r="M17" s="23"/>
      <c r="N17" s="23"/>
    </row>
    <row r="18" spans="1:14" ht="24" customHeight="1" x14ac:dyDescent="0.25">
      <c r="A18" s="30" t="s">
        <v>66</v>
      </c>
      <c r="B18" s="87" t="s">
        <v>164</v>
      </c>
      <c r="C18" s="3"/>
      <c r="D18" s="2" t="s">
        <v>67</v>
      </c>
      <c r="E18" s="29">
        <v>0.06</v>
      </c>
      <c r="F18" s="3"/>
      <c r="G18" s="3"/>
      <c r="H18" s="3"/>
      <c r="I18" s="3"/>
      <c r="J18" s="3"/>
      <c r="K18" s="3"/>
      <c r="L18" s="3"/>
      <c r="M18" s="3"/>
      <c r="N18" s="3"/>
    </row>
    <row r="19" spans="1:14" ht="24" customHeight="1" x14ac:dyDescent="0.25">
      <c r="A19" s="30" t="s">
        <v>68</v>
      </c>
      <c r="B19" s="87" t="s">
        <v>165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mergeCells count="2">
    <mergeCell ref="A1:N2"/>
    <mergeCell ref="D16:E16"/>
  </mergeCells>
  <phoneticPr fontId="17" type="noConversion"/>
  <pageMargins left="0.511811024" right="0.511811024" top="0.78740157499999996" bottom="0.78740157499999996" header="0.31496062000000002" footer="0.31496062000000002"/>
  <pageSetup paperSize="9" scale="54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7"/>
  <sheetViews>
    <sheetView topLeftCell="A3" zoomScaleNormal="100" workbookViewId="0">
      <selection activeCell="C14" sqref="C14"/>
    </sheetView>
  </sheetViews>
  <sheetFormatPr defaultRowHeight="15" x14ac:dyDescent="0.25"/>
  <cols>
    <col min="1" max="1" width="25.7109375" customWidth="1"/>
    <col min="2" max="2" width="19.5703125" bestFit="1" customWidth="1"/>
    <col min="3" max="3" width="30" bestFit="1" customWidth="1"/>
    <col min="4" max="4" width="19.5703125" customWidth="1"/>
    <col min="5" max="5" width="19.85546875" customWidth="1"/>
    <col min="6" max="6" width="18.42578125" customWidth="1"/>
    <col min="7" max="7" width="22.85546875" customWidth="1"/>
    <col min="8" max="8" width="22" customWidth="1"/>
    <col min="9" max="9" width="13.7109375" customWidth="1"/>
    <col min="10" max="10" width="18.85546875" bestFit="1" customWidth="1"/>
    <col min="11" max="11" width="129.140625" bestFit="1" customWidth="1"/>
  </cols>
  <sheetData>
    <row r="1" spans="1:11" ht="15" customHeight="1" x14ac:dyDescent="0.25">
      <c r="A1" s="67" t="s">
        <v>14</v>
      </c>
      <c r="B1" s="67"/>
      <c r="C1" s="67"/>
      <c r="D1" s="67"/>
      <c r="E1" s="67"/>
      <c r="F1" s="67"/>
      <c r="G1" s="67"/>
      <c r="H1" s="67"/>
      <c r="I1" s="66" t="s">
        <v>44</v>
      </c>
      <c r="J1" s="66"/>
      <c r="K1" s="64">
        <v>980.36</v>
      </c>
    </row>
    <row r="2" spans="1:11" ht="15" customHeight="1" x14ac:dyDescent="0.25">
      <c r="A2" s="67"/>
      <c r="B2" s="67"/>
      <c r="C2" s="67"/>
      <c r="D2" s="67"/>
      <c r="E2" s="67"/>
      <c r="F2" s="67"/>
      <c r="G2" s="67"/>
      <c r="H2" s="67"/>
      <c r="I2" s="66"/>
      <c r="J2" s="66"/>
      <c r="K2" s="64"/>
    </row>
    <row r="3" spans="1:11" ht="30.75" customHeight="1" x14ac:dyDescent="0.25">
      <c r="A3" s="10" t="s">
        <v>15</v>
      </c>
      <c r="B3" s="11" t="s">
        <v>43</v>
      </c>
      <c r="C3" s="12" t="s">
        <v>42</v>
      </c>
      <c r="D3" s="12" t="s">
        <v>16</v>
      </c>
      <c r="E3" s="12" t="s">
        <v>17</v>
      </c>
      <c r="F3" s="12" t="s">
        <v>18</v>
      </c>
      <c r="G3" s="12" t="s">
        <v>38</v>
      </c>
      <c r="H3" s="12" t="s">
        <v>19</v>
      </c>
      <c r="I3" s="11" t="s">
        <v>40</v>
      </c>
      <c r="J3" s="11" t="s">
        <v>20</v>
      </c>
      <c r="K3" s="11" t="s">
        <v>39</v>
      </c>
    </row>
    <row r="4" spans="1:11" s="3" customFormat="1" ht="24.95" customHeight="1" x14ac:dyDescent="0.25">
      <c r="A4" s="14" t="s">
        <v>29</v>
      </c>
      <c r="B4" s="15">
        <v>2</v>
      </c>
      <c r="C4" s="89" t="s">
        <v>167</v>
      </c>
      <c r="D4" s="88" t="s">
        <v>168</v>
      </c>
      <c r="E4" s="88" t="s">
        <v>169</v>
      </c>
      <c r="F4" s="88" t="s">
        <v>170</v>
      </c>
      <c r="G4" s="88" t="s">
        <v>171</v>
      </c>
      <c r="H4" s="88" t="s">
        <v>166</v>
      </c>
      <c r="I4" s="17">
        <v>45983</v>
      </c>
      <c r="J4" s="89" t="s">
        <v>172</v>
      </c>
      <c r="K4" s="89" t="s">
        <v>173</v>
      </c>
    </row>
    <row r="5" spans="1:11" s="3" customFormat="1" ht="24.95" customHeight="1" x14ac:dyDescent="0.25">
      <c r="A5" s="14" t="s">
        <v>30</v>
      </c>
      <c r="B5" s="15">
        <v>5</v>
      </c>
      <c r="C5" s="15" t="str">
        <f t="shared" ref="C5:C12" si="0">IF(B5&gt;2,"Declarante","Isento")</f>
        <v>Declarante</v>
      </c>
      <c r="D5" s="16">
        <f t="shared" ref="D5:D12" si="1">B5*$K$1</f>
        <v>4901.8</v>
      </c>
      <c r="E5" s="16">
        <f t="shared" ref="E5:E12" si="2">D5*$F$15</f>
        <v>294.108</v>
      </c>
      <c r="F5" s="16">
        <f t="shared" ref="F5:F12" si="3">D5*$F$16</f>
        <v>392.14400000000001</v>
      </c>
      <c r="G5" s="16">
        <f t="shared" ref="G5:G12" si="4">IF(B5&gt;2,D5*$F$17,0)</f>
        <v>735.27</v>
      </c>
      <c r="H5" s="16">
        <f t="shared" ref="H5:H12" si="5">D5-SUM(E5,F5,G5)</f>
        <v>3480.2780000000002</v>
      </c>
      <c r="I5" s="17">
        <v>45987</v>
      </c>
      <c r="J5" s="15">
        <f t="shared" ref="J5:J12" ca="1" si="6">DAYS360(TODAY(),I5)</f>
        <v>9</v>
      </c>
      <c r="K5" s="15" t="str">
        <f t="shared" ref="K5:K12" si="7">CHOOSE(WEEKDAY(I5),"DOMINGO","SEGUNDA-FEIRA","TERÇA-FEIRA","QUARTA-FEIRA","QUINTA-FEIRA","SEXTA-FEIRA","SÁBADO")</f>
        <v>QUARTA-FEIRA</v>
      </c>
    </row>
    <row r="6" spans="1:11" s="3" customFormat="1" ht="24.95" customHeight="1" x14ac:dyDescent="0.25">
      <c r="A6" s="14" t="s">
        <v>36</v>
      </c>
      <c r="B6" s="15">
        <v>1</v>
      </c>
      <c r="C6" s="15" t="str">
        <f t="shared" si="0"/>
        <v>Isento</v>
      </c>
      <c r="D6" s="16">
        <f t="shared" si="1"/>
        <v>980.36</v>
      </c>
      <c r="E6" s="16">
        <f t="shared" si="2"/>
        <v>58.821599999999997</v>
      </c>
      <c r="F6" s="16">
        <f t="shared" si="3"/>
        <v>78.42880000000001</v>
      </c>
      <c r="G6" s="16">
        <f t="shared" si="4"/>
        <v>0</v>
      </c>
      <c r="H6" s="16">
        <f t="shared" si="5"/>
        <v>843.1096</v>
      </c>
      <c r="I6" s="17">
        <v>45980</v>
      </c>
      <c r="J6" s="15">
        <f t="shared" ca="1" si="6"/>
        <v>2</v>
      </c>
      <c r="K6" s="15" t="str">
        <f t="shared" si="7"/>
        <v>QUARTA-FEIRA</v>
      </c>
    </row>
    <row r="7" spans="1:11" s="3" customFormat="1" ht="24.95" customHeight="1" x14ac:dyDescent="0.25">
      <c r="A7" s="14" t="s">
        <v>31</v>
      </c>
      <c r="B7" s="15">
        <v>4</v>
      </c>
      <c r="C7" s="15" t="str">
        <f t="shared" si="0"/>
        <v>Declarante</v>
      </c>
      <c r="D7" s="16">
        <f t="shared" si="1"/>
        <v>3921.44</v>
      </c>
      <c r="E7" s="16">
        <f t="shared" si="2"/>
        <v>235.28639999999999</v>
      </c>
      <c r="F7" s="16">
        <f t="shared" si="3"/>
        <v>313.71520000000004</v>
      </c>
      <c r="G7" s="16">
        <f t="shared" si="4"/>
        <v>588.21600000000001</v>
      </c>
      <c r="H7" s="16">
        <f t="shared" si="5"/>
        <v>2784.2224000000001</v>
      </c>
      <c r="I7" s="17">
        <v>45975</v>
      </c>
      <c r="J7" s="15">
        <f t="shared" ca="1" si="6"/>
        <v>-3</v>
      </c>
      <c r="K7" s="15" t="str">
        <f t="shared" si="7"/>
        <v>SEXTA-FEIRA</v>
      </c>
    </row>
    <row r="8" spans="1:11" s="3" customFormat="1" ht="24.95" customHeight="1" x14ac:dyDescent="0.25">
      <c r="A8" s="14" t="s">
        <v>32</v>
      </c>
      <c r="B8" s="15">
        <v>8</v>
      </c>
      <c r="C8" s="15" t="str">
        <f t="shared" si="0"/>
        <v>Declarante</v>
      </c>
      <c r="D8" s="16">
        <f t="shared" si="1"/>
        <v>7842.88</v>
      </c>
      <c r="E8" s="16">
        <f t="shared" si="2"/>
        <v>470.57279999999997</v>
      </c>
      <c r="F8" s="16">
        <f t="shared" si="3"/>
        <v>627.43040000000008</v>
      </c>
      <c r="G8" s="16">
        <f t="shared" si="4"/>
        <v>1176.432</v>
      </c>
      <c r="H8" s="16">
        <f t="shared" si="5"/>
        <v>5568.4448000000002</v>
      </c>
      <c r="I8" s="17">
        <v>45971</v>
      </c>
      <c r="J8" s="15">
        <f t="shared" ca="1" si="6"/>
        <v>-7</v>
      </c>
      <c r="K8" s="15" t="str">
        <f t="shared" si="7"/>
        <v>SEGUNDA-FEIRA</v>
      </c>
    </row>
    <row r="9" spans="1:11" s="3" customFormat="1" ht="24.95" customHeight="1" x14ac:dyDescent="0.25">
      <c r="A9" s="14" t="s">
        <v>33</v>
      </c>
      <c r="B9" s="15">
        <v>7</v>
      </c>
      <c r="C9" s="15" t="str">
        <f t="shared" si="0"/>
        <v>Declarante</v>
      </c>
      <c r="D9" s="16">
        <f t="shared" si="1"/>
        <v>6862.52</v>
      </c>
      <c r="E9" s="16">
        <f t="shared" si="2"/>
        <v>411.75119999999998</v>
      </c>
      <c r="F9" s="16">
        <f t="shared" si="3"/>
        <v>549.00160000000005</v>
      </c>
      <c r="G9" s="16">
        <f t="shared" si="4"/>
        <v>1029.3779999999999</v>
      </c>
      <c r="H9" s="16">
        <f t="shared" si="5"/>
        <v>4872.3892000000005</v>
      </c>
      <c r="I9" s="17">
        <v>45969</v>
      </c>
      <c r="J9" s="15">
        <f t="shared" ca="1" si="6"/>
        <v>-9</v>
      </c>
      <c r="K9" s="15" t="str">
        <f t="shared" si="7"/>
        <v>SÁBADO</v>
      </c>
    </row>
    <row r="10" spans="1:11" s="3" customFormat="1" ht="24.95" customHeight="1" x14ac:dyDescent="0.25">
      <c r="A10" s="14" t="s">
        <v>34</v>
      </c>
      <c r="B10" s="15">
        <v>3</v>
      </c>
      <c r="C10" s="15" t="str">
        <f t="shared" si="0"/>
        <v>Declarante</v>
      </c>
      <c r="D10" s="16">
        <f t="shared" si="1"/>
        <v>2941.08</v>
      </c>
      <c r="E10" s="16">
        <f t="shared" si="2"/>
        <v>176.4648</v>
      </c>
      <c r="F10" s="16">
        <f t="shared" si="3"/>
        <v>235.28639999999999</v>
      </c>
      <c r="G10" s="16">
        <f t="shared" si="4"/>
        <v>441.16199999999998</v>
      </c>
      <c r="H10" s="16">
        <f t="shared" si="5"/>
        <v>2088.1668</v>
      </c>
      <c r="I10" s="17">
        <v>45976</v>
      </c>
      <c r="J10" s="15">
        <f t="shared" ca="1" si="6"/>
        <v>-2</v>
      </c>
      <c r="K10" s="15" t="str">
        <f t="shared" si="7"/>
        <v>SÁBADO</v>
      </c>
    </row>
    <row r="11" spans="1:11" s="3" customFormat="1" ht="24.95" customHeight="1" x14ac:dyDescent="0.25">
      <c r="A11" s="14" t="s">
        <v>35</v>
      </c>
      <c r="B11" s="15">
        <v>2</v>
      </c>
      <c r="C11" s="15" t="str">
        <f t="shared" si="0"/>
        <v>Isento</v>
      </c>
      <c r="D11" s="16">
        <f t="shared" si="1"/>
        <v>1960.72</v>
      </c>
      <c r="E11" s="16">
        <f t="shared" si="2"/>
        <v>117.64319999999999</v>
      </c>
      <c r="F11" s="16">
        <f t="shared" si="3"/>
        <v>156.85760000000002</v>
      </c>
      <c r="G11" s="16">
        <f t="shared" si="4"/>
        <v>0</v>
      </c>
      <c r="H11" s="16">
        <f t="shared" si="5"/>
        <v>1686.2192</v>
      </c>
      <c r="I11" s="17">
        <v>45966</v>
      </c>
      <c r="J11" s="15">
        <f t="shared" ca="1" si="6"/>
        <v>-12</v>
      </c>
      <c r="K11" s="15" t="str">
        <f t="shared" si="7"/>
        <v>QUARTA-FEIRA</v>
      </c>
    </row>
    <row r="12" spans="1:11" s="3" customFormat="1" ht="24.95" customHeight="1" x14ac:dyDescent="0.25">
      <c r="A12" s="14" t="s">
        <v>37</v>
      </c>
      <c r="B12" s="15">
        <v>4</v>
      </c>
      <c r="C12" s="15" t="str">
        <f t="shared" si="0"/>
        <v>Declarante</v>
      </c>
      <c r="D12" s="16">
        <f t="shared" si="1"/>
        <v>3921.44</v>
      </c>
      <c r="E12" s="16">
        <f t="shared" si="2"/>
        <v>235.28639999999999</v>
      </c>
      <c r="F12" s="16">
        <f t="shared" si="3"/>
        <v>313.71520000000004</v>
      </c>
      <c r="G12" s="16">
        <f t="shared" si="4"/>
        <v>588.21600000000001</v>
      </c>
      <c r="H12" s="16">
        <f t="shared" si="5"/>
        <v>2784.2224000000001</v>
      </c>
      <c r="I12" s="17">
        <v>45962</v>
      </c>
      <c r="J12" s="15">
        <f t="shared" ca="1" si="6"/>
        <v>-16</v>
      </c>
      <c r="K12" s="15" t="str">
        <f t="shared" si="7"/>
        <v>SÁBADO</v>
      </c>
    </row>
    <row r="13" spans="1:1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s="3" customFormat="1" ht="24.95" customHeight="1" x14ac:dyDescent="0.25">
      <c r="A14" s="18" t="s">
        <v>21</v>
      </c>
      <c r="B14" s="90" t="s">
        <v>174</v>
      </c>
      <c r="C14" s="9"/>
      <c r="E14" s="65" t="s">
        <v>22</v>
      </c>
      <c r="F14" s="65"/>
    </row>
    <row r="15" spans="1:11" s="3" customFormat="1" ht="24.95" customHeight="1" x14ac:dyDescent="0.25">
      <c r="A15" s="18" t="s">
        <v>23</v>
      </c>
      <c r="B15" s="90" t="s">
        <v>175</v>
      </c>
      <c r="C15" s="9"/>
      <c r="E15" s="7" t="s">
        <v>24</v>
      </c>
      <c r="F15" s="8">
        <v>0.06</v>
      </c>
    </row>
    <row r="16" spans="1:11" s="3" customFormat="1" ht="24.95" customHeight="1" x14ac:dyDescent="0.25">
      <c r="A16" s="18" t="s">
        <v>25</v>
      </c>
      <c r="B16" s="90" t="s">
        <v>176</v>
      </c>
      <c r="C16" s="9"/>
      <c r="E16" s="7" t="s">
        <v>26</v>
      </c>
      <c r="F16" s="8">
        <v>0.08</v>
      </c>
    </row>
    <row r="17" spans="5:6" ht="21.75" customHeight="1" x14ac:dyDescent="0.25">
      <c r="E17" s="7" t="s">
        <v>41</v>
      </c>
      <c r="F17" s="8">
        <v>0.15</v>
      </c>
    </row>
  </sheetData>
  <mergeCells count="4">
    <mergeCell ref="K1:K2"/>
    <mergeCell ref="E14:F14"/>
    <mergeCell ref="I1:J2"/>
    <mergeCell ref="A1:H2"/>
  </mergeCells>
  <pageMargins left="0.511811024" right="0.511811024" top="0.78740157499999996" bottom="0.78740157499999996" header="0.31496062000000002" footer="0.31496062000000002"/>
  <pageSetup paperSize="9" scale="40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Atividade_01</vt:lpstr>
      <vt:lpstr>Atividade_02</vt:lpstr>
      <vt:lpstr>Atividade_03</vt:lpstr>
      <vt:lpstr>Atividade_04</vt:lpstr>
      <vt:lpstr>Atividade_05</vt:lpstr>
      <vt:lpstr>Atividade_06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4</dc:creator>
  <cp:lastModifiedBy>Jansen Rafael Leite</cp:lastModifiedBy>
  <cp:lastPrinted>2025-11-17T15:20:03Z</cp:lastPrinted>
  <dcterms:created xsi:type="dcterms:W3CDTF">2013-03-15T16:00:20Z</dcterms:created>
  <dcterms:modified xsi:type="dcterms:W3CDTF">2025-11-17T15:25:56Z</dcterms:modified>
</cp:coreProperties>
</file>